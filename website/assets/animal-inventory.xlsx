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总览看板" sheetId="1" r:id="rId1"/>
    <sheet name="动物台账明细" sheetId="2" r:id="rId2"/>
    <sheet name="待补字段清单" sheetId="3" r:id="rId3"/>
    <sheet name="字典_下拉选项" sheetId="4" r:id="rId4"/>
    <sheet name="保种日期核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<sst xmlns="http://schemas.openxmlformats.org/spreadsheetml/2006/main" count="555" uniqueCount="219">
  <si>
    <t>科研小组动物台账总览（负责人矩阵分开版·无统计图）</t>
  </si>
  <si>
    <t>口径：根据原始记录整理；本版已将负责人管理矩阵拆为“负责人×老鼠品系”和“负责人×实验状态”两个独立板块，避免状态与品系混列。</t>
  </si>
  <si>
    <t>总动物数</t>
  </si>
  <si>
    <t>沙鼠</t>
  </si>
  <si>
    <t>C57BL/6J</t>
  </si>
  <si>
    <t>基因鼠</t>
  </si>
  <si>
    <t>已补保种日期记录</t>
  </si>
  <si>
    <t>待确认保种日期记录</t>
  </si>
  <si>
    <t>只</t>
  </si>
  <si>
    <t>条</t>
  </si>
  <si>
    <t>按负责人管理矩阵（实验状态与老鼠品系分开）</t>
  </si>
  <si>
    <t>一、负责人 × 老鼠品系/品种矩阵</t>
  </si>
  <si>
    <t>二、负责人 × 实验状态矩阵</t>
  </si>
  <si>
    <t>负责人</t>
  </si>
  <si>
    <t>合计</t>
  </si>
  <si>
    <t>实验中</t>
  </si>
  <si>
    <t>空白</t>
  </si>
  <si>
    <t>保种</t>
  </si>
  <si>
    <t>繁育中</t>
  </si>
  <si>
    <t>科研小组（待分配）</t>
  </si>
  <si>
    <t>逯克荣</t>
  </si>
  <si>
    <t>成文军</t>
  </si>
  <si>
    <t>侯娇</t>
  </si>
  <si>
    <t>王世龙</t>
  </si>
  <si>
    <t>三、负责人待补事项汇总（独立于品系/状态矩阵）</t>
  </si>
  <si>
    <t>高优先级待补（项）</t>
  </si>
  <si>
    <t>日期待补（项）</t>
  </si>
  <si>
    <t>主要待补内容</t>
  </si>
  <si>
    <t>管理备注</t>
  </si>
  <si>
    <t>沙鼠负责人、S-003/S-004保种日期或接种完整信息。</t>
  </si>
  <si>
    <t>沙鼠暂列待分配，建议明确具体负责人。</t>
  </si>
  <si>
    <t>C-001模型类型/造模方法；C-002入组日期、笼号、性别、周龄、来源。</t>
  </si>
  <si>
    <t>已有造模日期：2026-05-20。</t>
  </si>
  <si>
    <t>C-003实验名称、实验开始日期、处理/模型类型；C-004基础信息。</t>
  </si>
  <si>
    <t>35只实验中需优先补实验开始日期。</t>
  </si>
  <si>
    <t>G-001至G-005基因型、代次/窝号、繁育日期、亲本信息、笼号、性别。</t>
  </si>
  <si>
    <t>基因鼠繁育中，建议按窝号分批补录。</t>
  </si>
  <si>
    <t>G-006至G-009基因型、代次/窝号、繁育日期、亲本信息、笼号、性别。</t>
  </si>
  <si>
    <t>以上待补项按记录条目统计，后续可随明细补录同步更新。</t>
  </si>
  <si>
    <t>总动物数仍为214只。</t>
  </si>
  <si>
    <t>科研小组动物台账明细（补充保种日期版）</t>
  </si>
  <si>
    <t>说明：本版已将“首次/开始日期”明确修订为“保种日期”；已知沙鼠保种日期2025-07-25已补入，未明确者在备注和待补字段中标注。总数=214只，不含统计图。</t>
  </si>
  <si>
    <t>台账编号</t>
  </si>
  <si>
    <t>动物种类/品系</t>
  </si>
  <si>
    <t>分组/用途</t>
  </si>
  <si>
    <t>当前状态</t>
  </si>
  <si>
    <t>数量（只）</t>
  </si>
  <si>
    <t>原始日期描述</t>
  </si>
  <si>
    <t>保种日期</t>
  </si>
  <si>
    <t>复种日期</t>
  </si>
  <si>
    <t>接种/造模日期</t>
  </si>
  <si>
    <t>记录/入账日期</t>
  </si>
  <si>
    <t>日期完整性</t>
  </si>
  <si>
    <t>待补优先级</t>
  </si>
  <si>
    <t>笼号</t>
  </si>
  <si>
    <t>性别</t>
  </si>
  <si>
    <t>周龄/日龄</t>
  </si>
  <si>
    <t>来源/供应商</t>
  </si>
  <si>
    <t>基因型/代次</t>
  </si>
  <si>
    <t>接种材料/模型类型</t>
  </si>
  <si>
    <t>动物房/笼架位置</t>
  </si>
  <si>
    <t>备注</t>
  </si>
  <si>
    <t>待补关键字段</t>
  </si>
  <si>
    <t>S-001</t>
  </si>
  <si>
    <t>保种/复种</t>
  </si>
  <si>
    <t>2025年7月25日保种；2026年2月7日复种5只</t>
  </si>
  <si>
    <t>完整</t>
  </si>
  <si>
    <t>中</t>
  </si>
  <si>
    <t>待补</t>
  </si>
  <si>
    <t>不适用</t>
  </si>
  <si>
    <t>保种复种</t>
  </si>
  <si>
    <t>已补充保种日期：2025-07-25；复种日期：2026-02-07；属于沙鼠14只保种状态中的5只。</t>
  </si>
  <si>
    <t>笼号、性别、周龄/日龄、来源、动物房位置</t>
  </si>
  <si>
    <t>S-002</t>
  </si>
  <si>
    <t>2025年7月25日保种3只；原始记录写作‘保重’，按‘保种’处理</t>
  </si>
  <si>
    <t>部分完整</t>
  </si>
  <si>
    <t>已补充保种日期：2025-07-25；未提供后续复种或其他处理日期。</t>
  </si>
  <si>
    <t>笼号、性别、周龄/日龄、来源、动物房位置、是否已复种</t>
  </si>
  <si>
    <t>S-003</t>
  </si>
  <si>
    <t>人源病灶接种</t>
  </si>
  <si>
    <t>2026年接种人源病灶2只</t>
  </si>
  <si>
    <t>高</t>
  </si>
  <si>
    <t>原始记录仅给出2026年接种人源病灶，未明确保种日期；如属于2025-07-25同一保种批次，需人工确认后回填。</t>
  </si>
  <si>
    <t>保种日期、接种具体日期、病灶来源/编号、接种部位、接种量、笼号、性别、周龄/日龄</t>
  </si>
  <si>
    <t>S-004</t>
  </si>
  <si>
    <t>头节接种</t>
  </si>
  <si>
    <t>2026年5月17日接种头节4只</t>
  </si>
  <si>
    <t>已标准化头节接种日期：2026-05-17；原始记录未明确该4只的保种日期，需确认是否同为2025-07-25保种批。</t>
  </si>
  <si>
    <t>保种日期、头节来源/批号、接种部位、接种量、笼号、性别、周龄/日龄、动物房位置</t>
  </si>
  <si>
    <t>S-005</t>
  </si>
  <si>
    <t>空白对照</t>
  </si>
  <si>
    <t>空白沙鼠10只；2026年6月6日记录</t>
  </si>
  <si>
    <t>低</t>
  </si>
  <si>
    <t>已标准化记录/入账日期；未进行接种或造模。</t>
  </si>
  <si>
    <t>C-001</t>
  </si>
  <si>
    <t>造模组</t>
  </si>
  <si>
    <t>2026年5月20日造模5只</t>
  </si>
  <si>
    <t>模型类型待补</t>
  </si>
  <si>
    <t>已标准化造模日期；模型具体类型、处理方法和动物基础信息待补。</t>
  </si>
  <si>
    <t>模型类型、造模方法/剂量/部位、笼号、性别、周龄/日龄、来源</t>
  </si>
  <si>
    <t>C-002</t>
  </si>
  <si>
    <t>空白组</t>
  </si>
  <si>
    <t>空白98只；原始记录未注明日期</t>
  </si>
  <si>
    <t>未提供入组或入账日期。</t>
  </si>
  <si>
    <t>入组/入账日期、笼号、性别、周龄/日龄、来源、动物房位置</t>
  </si>
  <si>
    <t>C-003</t>
  </si>
  <si>
    <t>实验组</t>
  </si>
  <si>
    <t>35只实验中；原始记录未注明日期</t>
  </si>
  <si>
    <t>实验名称待补</t>
  </si>
  <si>
    <t>实验名称、开始日期和处理方式均需补录。</t>
  </si>
  <si>
    <t>实验名称、开始日期、处理/模型类型、笼号、性别、周龄/日龄、来源</t>
  </si>
  <si>
    <t>C-004</t>
  </si>
  <si>
    <t>空白10只；原始记录未注明日期</t>
  </si>
  <si>
    <t>G-001</t>
  </si>
  <si>
    <t>繁育批次1</t>
  </si>
  <si>
    <t>侯娇基因鼠8+7+7+3+5=30只；繁育中</t>
  </si>
  <si>
    <t>繁育</t>
  </si>
  <si>
    <t>按原始加和拆分为5个繁育批次，批次日期未提供。</t>
  </si>
  <si>
    <t>基因型、代次/窝号、繁育日期、亲本信息、笼号、性别、周龄/日龄</t>
  </si>
  <si>
    <t>G-002</t>
  </si>
  <si>
    <t>繁育批次2</t>
  </si>
  <si>
    <t>G-003</t>
  </si>
  <si>
    <t>繁育批次3</t>
  </si>
  <si>
    <t>G-004</t>
  </si>
  <si>
    <t>繁育批次4</t>
  </si>
  <si>
    <t>G-005</t>
  </si>
  <si>
    <t>繁育批次5</t>
  </si>
  <si>
    <t>G-006</t>
  </si>
  <si>
    <t>王世龙基因鼠3+3+3+3=12只；繁育中</t>
  </si>
  <si>
    <t>按原始加和拆分为4个繁育批次，批次日期未提供。</t>
  </si>
  <si>
    <t>G-007</t>
  </si>
  <si>
    <t>G-008</t>
  </si>
  <si>
    <t>G-009</t>
  </si>
  <si>
    <t>待补字段清单（补充保种日期后）</t>
  </si>
  <si>
    <t>用途：用于下一步补录关键字段。本版已明确补入S-001、S-002保种日期；S-003、S-004的保种日期仍需根据原始笼卡/实验记录确认。</t>
  </si>
  <si>
    <t>序号</t>
  </si>
  <si>
    <t>优先级</t>
  </si>
  <si>
    <t>涉及记录</t>
  </si>
  <si>
    <t>已有日期信息</t>
  </si>
  <si>
    <t>已完善日期列</t>
  </si>
  <si>
    <t>仍需补充关键字段</t>
  </si>
  <si>
    <t>建议补录位置</t>
  </si>
  <si>
    <t>说明</t>
  </si>
  <si>
    <t>S-003 沙鼠人源病灶接种</t>
  </si>
  <si>
    <t>仅有2026年，缺月日；保种日期未明确</t>
  </si>
  <si>
    <t>无精确日期</t>
  </si>
  <si>
    <t>接种具体日期、保种日期、病灶来源/编号、接种部位、接种量、笼号、性别、周龄/日龄</t>
  </si>
  <si>
    <t>动物台账明细 S-003</t>
  </si>
  <si>
    <t>实验中且日期不完整，建议优先补。</t>
  </si>
  <si>
    <t>C-001 逯克荣C57造模组</t>
  </si>
  <si>
    <t>2026-05-20造模</t>
  </si>
  <si>
    <t>动物台账明细 C-001</t>
  </si>
  <si>
    <t>已有造模日期，但模型信息不完整。</t>
  </si>
  <si>
    <t>C-003 成文军C57实验组</t>
  </si>
  <si>
    <t>未提供</t>
  </si>
  <si>
    <t>无</t>
  </si>
  <si>
    <t>实验名称、实验开始日期、处理/模型类型、笼号、性别、周龄/日龄、来源</t>
  </si>
  <si>
    <t>动物台账明细 C-003</t>
  </si>
  <si>
    <t>实验中数量较大，需尽快补实验信息。</t>
  </si>
  <si>
    <t>G-001至G-009 基因鼠繁育批次</t>
  </si>
  <si>
    <t>动物台账明细 G-001:G-009</t>
  </si>
  <si>
    <t>繁育动物需要完整基因背景与代次记录。</t>
  </si>
  <si>
    <t>S-001 沙鼠保种/复种</t>
  </si>
  <si>
    <t>2025-07-25保种；2026-02-07复种</t>
  </si>
  <si>
    <t>保种日期、复种日期</t>
  </si>
  <si>
    <t>动物台账明细 S-001</t>
  </si>
  <si>
    <t>日期已完整，补基础信息即可。</t>
  </si>
  <si>
    <t>S-002 沙鼠保种</t>
  </si>
  <si>
    <t>2025-07-25保种</t>
  </si>
  <si>
    <t>是否复种、笼号、性别、周龄/日龄、来源、动物房位置</t>
  </si>
  <si>
    <t>动物台账明细 S-002</t>
  </si>
  <si>
    <t>保种日期已补齐；需确认是否有后续复种。</t>
  </si>
  <si>
    <t>S-004 沙鼠头节接种</t>
  </si>
  <si>
    <t>2026-05-17接种头节</t>
  </si>
  <si>
    <t>保种日期、头节来源/批号、接种部位、接种量、笼号、性别、周龄/日龄</t>
  </si>
  <si>
    <t>动物台账明细 S-004</t>
  </si>
  <si>
    <t>已有接种日期，仍需确认保种日期及接种材料信息。</t>
  </si>
  <si>
    <t>C-002 逯克荣C57空白组</t>
  </si>
  <si>
    <t>动物台账明细 C-002</t>
  </si>
  <si>
    <t>数量最大，建议分笼逐批补录。</t>
  </si>
  <si>
    <t>C-004 成文军C57空白组</t>
  </si>
  <si>
    <t>动物台账明细 C-004</t>
  </si>
  <si>
    <t>空白组也需补齐基础信息。</t>
  </si>
  <si>
    <t>S-005 空白沙鼠</t>
  </si>
  <si>
    <t>2026-06-06记录</t>
  </si>
  <si>
    <t>动物台账明细 S-005</t>
  </si>
  <si>
    <t>日期已记录，补基础信息即可。</t>
  </si>
  <si>
    <t>实验属性</t>
  </si>
  <si>
    <t>雄</t>
  </si>
  <si>
    <t>接种/实验</t>
  </si>
  <si>
    <t>雌</t>
  </si>
  <si>
    <t>造模/实验</t>
  </si>
  <si>
    <t>混合/待分</t>
  </si>
  <si>
    <t>实验</t>
  </si>
  <si>
    <t>沙鼠保种日期补充与核对表</t>
  </si>
  <si>
    <t>说明：已明确记录的沙鼠保种日期补为2025-07-25；原始资料未明确的接种组暂列为“待确认”，避免把日期误补到不确定批次。</t>
  </si>
  <si>
    <t>保种日期状态</t>
  </si>
  <si>
    <t>后续日期/事件</t>
  </si>
  <si>
    <t>原始依据</t>
  </si>
  <si>
    <t>处理建议</t>
  </si>
  <si>
    <t>是否需人工确认</t>
  </si>
  <si>
    <t>已补</t>
  </si>
  <si>
    <t>2026-02-07复种</t>
  </si>
  <si>
    <t>原始记录：2025年7月25日保种；2026年2月7日复种5只</t>
  </si>
  <si>
    <t>保种日期已补齐；继续补笼号、性别、周龄、来源和笼位。</t>
  </si>
  <si>
    <t>否</t>
  </si>
  <si>
    <t>无后续日期</t>
  </si>
  <si>
    <t>原始记录：2025年7月25日保种3只（“保重”按“保种”处理）</t>
  </si>
  <si>
    <t>保种日期已补齐；需确认是否复种。</t>
  </si>
  <si>
    <t>待确认</t>
  </si>
  <si>
    <t>2026年接种人源病灶，缺月日</t>
  </si>
  <si>
    <t>原始记录未写保种日期，只写2026年接种人源病灶2只</t>
  </si>
  <si>
    <t>优先核对是否属于2025-07-25保种批；同时补接种具体日期。</t>
  </si>
  <si>
    <t>是</t>
  </si>
  <si>
    <t>原始记录未写保种日期，只写2026年5月17日接种头节4只</t>
  </si>
  <si>
    <t>核对是否属于2025-07-25保种批；若确认，可回填保种日期。</t>
  </si>
  <si>
    <t>2026-06-06记录/入账</t>
  </si>
  <si>
    <t>空白沙鼠10只（2026年6月6日）</t>
  </si>
  <si>
    <t>空白组不作为保种记录；补基础信息即可。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</si>
</sst>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2">
    <font>
      <sz val="11"/>
      <name val="Carlito"/>
      <charset val="134"/>
    </font>
    <font>
      <b/>
      <sz val="15"/>
      <color rgb="FFFFFFFF"/>
      <name val="Carlito"/>
      <charset val="134"/>
    </font>
    <font>
      <sz val="11"/>
      <color rgb="FF1F4E78"/>
      <name val="Carlito"/>
      <charset val="134"/>
    </font>
    <font>
      <b/>
      <sz val="11"/>
      <color rgb="FFFFFFFF"/>
      <name val="Carlito"/>
      <charset val="134"/>
    </font>
    <font>
      <b/>
      <sz val="11"/>
      <color rgb="FF1F2937"/>
      <name val="Carlito"/>
      <charset val="134"/>
    </font>
    <font>
      <b/>
      <sz val="16"/>
      <color rgb="FFFFFFFF"/>
      <name val="Carlito"/>
      <charset val="134"/>
    </font>
    <font>
      <i/>
      <sz val="11"/>
      <color rgb="FF374151"/>
      <name val="Carlito"/>
      <charset val="134"/>
    </font>
    <font>
      <b/>
      <sz val="11"/>
      <name val="Carlito"/>
      <charset val="134"/>
    </font>
    <font>
      <b/>
      <sz val="18"/>
      <color rgb="FF1F4E79"/>
      <name val="Carlito"/>
      <charset val="134"/>
    </font>
    <font>
      <b/>
      <sz val="12"/>
      <color rgb="FFFFFFFF"/>
      <name val="Carlito"/>
      <charset val="134"/>
    </font>
    <font>
      <b/>
      <sz val="11"/>
      <color rgb="FF1F4E78"/>
      <name val="Carlito"/>
      <charset val="134"/>
    </font>
    <font>
      <b/>
      <sz val="11"/>
      <color rgb="FF37562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0" fontId="4" fillId="3" borderId="0" xfId="49" applyNumberFormat="1" applyFont="1" applyFill="1" applyBorder="1" applyAlignment="1">
      <alignment horizontal="center" vertical="center" wrapText="1"/>
    </xf>
    <xf numFmtId="0" fontId="5" fillId="5" borderId="0" xfId="49" applyNumberFormat="1" applyFont="1" applyFill="1" applyBorder="1" applyAlignment="1">
      <alignment horizontal="center" vertical="center"/>
    </xf>
    <xf numFmtId="0" fontId="6" fillId="6" borderId="0" xfId="49" applyNumberFormat="1" applyFont="1" applyFill="1" applyBorder="1" applyAlignment="1">
      <alignment wrapText="1"/>
    </xf>
    <xf numFmtId="0" fontId="0" fillId="7" borderId="0" xfId="49" applyNumberFormat="1" applyFont="1" applyFill="1" applyBorder="1" applyAlignment="1">
      <alignment vertical="top" wrapText="1"/>
    </xf>
    <xf numFmtId="1" fontId="0" fillId="7" borderId="0" xfId="49" applyNumberFormat="1" applyFont="1" applyFill="1" applyBorder="1" applyAlignment="1">
      <alignment vertical="top" wrapText="1"/>
    </xf>
    <xf numFmtId="176" fontId="0" fillId="8" borderId="0" xfId="49" applyNumberFormat="1" applyFont="1" applyFill="1" applyBorder="1" applyAlignment="1">
      <alignment vertical="top" wrapText="1"/>
    </xf>
    <xf numFmtId="176" fontId="0" fillId="7" borderId="0" xfId="49" applyNumberFormat="1" applyFont="1" applyFill="1" applyBorder="1" applyAlignment="1">
      <alignment vertical="top" wrapText="1"/>
    </xf>
    <xf numFmtId="0" fontId="7" fillId="9" borderId="0" xfId="49" applyNumberFormat="1" applyFont="1" applyFill="1" applyBorder="1" applyAlignment="1">
      <alignment horizontal="center" vertical="center"/>
    </xf>
    <xf numFmtId="0" fontId="8" fillId="9" borderId="0" xfId="49" applyNumberFormat="1" applyFont="1" applyFill="1" applyBorder="1" applyAlignment="1">
      <alignment horizontal="center" vertical="center"/>
    </xf>
    <xf numFmtId="0" fontId="9" fillId="2" borderId="0" xfId="49" applyNumberFormat="1" applyFont="1" applyFill="1" applyAlignment="1">
      <alignment horizontal="center" vertical="center" wrapText="1"/>
    </xf>
    <xf numFmtId="0" fontId="4" fillId="3" borderId="0" xfId="49" applyNumberFormat="1" applyFont="1" applyFill="1" applyAlignment="1">
      <alignment horizontal="center" vertical="center" wrapText="1"/>
    </xf>
    <xf numFmtId="0" fontId="10" fillId="3" borderId="0" xfId="49" applyNumberFormat="1" applyFont="1" applyFill="1" applyAlignment="1">
      <alignment horizontal="center" vertical="center" wrapText="1"/>
    </xf>
    <xf numFmtId="1" fontId="10" fillId="3" borderId="0" xfId="49" applyNumberFormat="1" applyFont="1" applyFill="1" applyAlignment="1">
      <alignment horizontal="center" vertical="center" wrapText="1"/>
    </xf>
    <xf numFmtId="1" fontId="0" fillId="7" borderId="0" xfId="49" applyNumberFormat="1" applyFont="1" applyFill="1" applyAlignment="1">
      <alignment vertical="center" wrapText="1"/>
    </xf>
    <xf numFmtId="0" fontId="3" fillId="10" borderId="0" xfId="49" applyNumberFormat="1" applyFont="1" applyFill="1" applyAlignment="1">
      <alignment horizontal="center" vertical="center" wrapText="1"/>
    </xf>
    <xf numFmtId="1" fontId="3" fillId="10" borderId="0" xfId="49" applyNumberFormat="1" applyFont="1" applyFill="1" applyAlignment="1">
      <alignment horizontal="center" vertical="center" wrapText="1"/>
    </xf>
    <xf numFmtId="0" fontId="10" fillId="11" borderId="0" xfId="49" applyNumberFormat="1" applyFont="1" applyFill="1" applyAlignment="1">
      <alignment horizontal="center" vertical="center" wrapText="1"/>
    </xf>
    <xf numFmtId="1" fontId="0" fillId="7" borderId="0" xfId="49" applyNumberFormat="1" applyFont="1" applyFill="1" applyAlignment="1">
      <alignment horizontal="center" vertical="center" wrapText="1"/>
    </xf>
    <xf numFmtId="1" fontId="10" fillId="11" borderId="0" xfId="49" applyNumberFormat="1" applyFont="1" applyFill="1" applyAlignment="1">
      <alignment horizontal="center" vertical="center" wrapText="1"/>
    </xf>
    <xf numFmtId="1" fontId="7" fillId="7" borderId="0" xfId="49" applyNumberFormat="1" applyFont="1" applyFill="1" applyAlignment="1">
      <alignment horizontal="center" vertical="center" wrapText="1"/>
    </xf>
    <xf numFmtId="1" fontId="7" fillId="7" borderId="0" xfId="49" applyNumberFormat="1" applyFont="1" applyFill="1" applyAlignment="1">
      <alignment vertical="center" wrapText="1"/>
    </xf>
    <xf numFmtId="1" fontId="0" fillId="0" borderId="0" xfId="49" applyNumberFormat="1" applyFont="1" applyFill="1" applyAlignment="1">
      <alignment horizontal="center" vertical="center" wrapText="1"/>
    </xf>
    <xf numFmtId="0" fontId="0" fillId="0" borderId="0" xfId="49" applyNumberFormat="1" applyFont="1" applyFill="1" applyAlignment="1">
      <alignment vertical="center" wrapText="1"/>
    </xf>
    <xf numFmtId="0" fontId="11" fillId="8" borderId="0" xfId="49" applyNumberFormat="1" applyFont="1" applyFill="1" applyAlignment="1">
      <alignment horizontal="center" vertical="center" wrapText="1"/>
    </xf>
    <xf numFmtId="1" fontId="11" fillId="8" borderId="0" xfId="49" applyNumberFormat="1" applyFont="1" applyFill="1" applyAlignment="1">
      <alignment horizontal="center" vertical="center" wrapText="1"/>
    </xf>
    <xf numFmtId="0" fontId="0" fillId="0" borderId="0" xfId="49" applyNumberFormat="1" applyFont="1" applyFill="1" applyAlignment="1">
      <alignment horizontal="left" vertical="center" wrapText="1"/>
    </xf>
    <xf numFmtId="0" fontId="11" fillId="8" borderId="0" xfId="49" applyNumberFormat="1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fill>
        <patternFill patternType="solid">
          <bgColor rgb="FFFCE4D6"/>
        </patternFill>
      </fill>
    </dxf>
    <dxf>
      <font>
        <color rgb="FF9C5700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ADCF8"/>
        </patternFill>
      </fill>
    </dxf>
    <dxf>
      <font>
        <b val="1"/>
      </font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nimalLedgerTable" displayName="AnimalLedgerTable" ref="A3:V22">
  <tableColumns count="22">
    <tableColumn id="1" name="台账编号"/>
    <tableColumn id="2" name="动物种类/品系"/>
    <tableColumn id="3" name="负责人"/>
    <tableColumn id="4" name="分组/用途"/>
    <tableColumn id="5" name="当前状态"/>
    <tableColumn id="6" name="数量（只）"/>
    <tableColumn id="7" name="原始日期描述"/>
    <tableColumn id="8" name="首次/开始日期"/>
    <tableColumn id="9" name="复种日期"/>
    <tableColumn id="10" name="接种/造模日期"/>
    <tableColumn id="11" name="记录/入账日期"/>
    <tableColumn id="12" name="日期完整性"/>
    <tableColumn id="13" name="待补优先级"/>
    <tableColumn id="14" name="笼号"/>
    <tableColumn id="15" name="性别"/>
    <tableColumn id="16" name="周龄/日龄"/>
    <tableColumn id="17" name="来源/供应商"/>
    <tableColumn id="18" name="基因型/代次"/>
    <tableColumn id="19" name="接种材料/模型类型"/>
    <tableColumn id="20" name="动物房/笼架位置"/>
    <tableColumn id="21" name="备注"/>
    <tableColumn id="22" name="待补关键字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doFieldsTable" displayName="TodoFieldsTable" ref="A3:I13">
  <tableColumns count="9">
    <tableColumn id="1" name="序号"/>
    <tableColumn id="2" name="优先级"/>
    <tableColumn id="3" name="涉及记录"/>
    <tableColumn id="4" name="数量（只）"/>
    <tableColumn id="5" name="已有日期信息"/>
    <tableColumn id="6" name="已完善日期列"/>
    <tableColumn id="7" name="仍需补充关键字段"/>
    <tableColumn id="8" name="建议补录位置"/>
    <tableColumn id="9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eservationDateCheckTable" displayName="PreservationDateCheckTable" ref="A3:I8">
  <tableColumns count="9">
    <tableColumn id="1" name="台账编号"/>
    <tableColumn id="2" name="数量（只）"/>
    <tableColumn id="3" name="分组/用途"/>
    <tableColumn id="4" name="保种日期"/>
    <tableColumn id="5" name="保种日期状态"/>
    <tableColumn id="6" name="后续日期/事件"/>
    <tableColumn id="7" name="原始依据"/>
    <tableColumn id="8" name="处理建议"/>
    <tableColumn id="9" name="是否需人工确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P19" sqref="P19"/>
    </sheetView>
  </sheetViews>
  <sheetFormatPr defaultColWidth="9" defaultRowHeight="15"/>
  <cols>
    <col min="1" max="1" width="18" customWidth="1"/>
    <col min="2" max="3" width="14" customWidth="1"/>
    <col min="4" max="4" width="30" customWidth="1"/>
    <col min="5" max="5" width="12" customWidth="1"/>
    <col min="6" max="6" width="4" customWidth="1"/>
    <col min="7" max="7" width="18" customWidth="1"/>
    <col min="8" max="8" width="12" customWidth="1"/>
    <col min="9" max="12" width="16" customWidth="1"/>
  </cols>
  <sheetData>
    <row r="1" ht="30" customHeight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0" customHeight="1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>
      <c r="A4" s="13" t="s">
        <v>2</v>
      </c>
      <c r="B4" s="13"/>
      <c r="C4" s="13" t="s">
        <v>3</v>
      </c>
      <c r="D4" s="13"/>
      <c r="E4" s="13" t="s">
        <v>4</v>
      </c>
      <c r="F4" s="13"/>
      <c r="G4" s="13" t="s">
        <v>5</v>
      </c>
      <c r="H4" s="13"/>
      <c r="I4" s="13" t="s">
        <v>6</v>
      </c>
      <c r="J4" s="13"/>
      <c r="K4" s="13" t="s">
        <v>7</v>
      </c>
      <c r="L4" s="13"/>
    </row>
    <row r="5" ht="23.25" spans="1:12">
      <c r="A5" s="14">
        <f>SUM(动物台账明细!$F$4:$F$22)</f>
        <v>214</v>
      </c>
      <c r="B5" s="13"/>
      <c r="C5" s="14">
        <f>SUMIFS(动物台账明细!$F$4:$F$22,动物台账明细!$B$4:$B$22,"沙鼠")</f>
        <v>24</v>
      </c>
      <c r="D5" s="13"/>
      <c r="E5" s="14">
        <f>SUMIFS(动物台账明细!$F$4:$F$22,动物台账明细!$B$4:$B$22,"C57BL/6J")</f>
        <v>148</v>
      </c>
      <c r="F5" s="13"/>
      <c r="G5" s="14">
        <f>SUMIFS(动物台账明细!$F$4:$F$22,动物台账明细!$B$4:$B$22,"基因鼠")</f>
        <v>42</v>
      </c>
      <c r="H5" s="13"/>
      <c r="I5" s="14">
        <v>2</v>
      </c>
      <c r="J5" s="13"/>
      <c r="K5" s="14">
        <v>2</v>
      </c>
      <c r="L5" s="13"/>
    </row>
    <row r="6" spans="1:12">
      <c r="A6" s="13" t="s">
        <v>8</v>
      </c>
      <c r="B6" s="13"/>
      <c r="C6" s="13" t="s">
        <v>8</v>
      </c>
      <c r="D6" s="13"/>
      <c r="E6" s="13" t="s">
        <v>8</v>
      </c>
      <c r="F6" s="13"/>
      <c r="G6" s="13" t="s">
        <v>8</v>
      </c>
      <c r="H6" s="13"/>
      <c r="I6" s="13" t="s">
        <v>9</v>
      </c>
      <c r="J6" s="13"/>
      <c r="K6" s="13" t="s">
        <v>9</v>
      </c>
      <c r="L6" s="13"/>
    </row>
    <row r="9" ht="26" customHeight="1" spans="1:12">
      <c r="A9" s="15" t="s">
        <v>10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ht="24" customHeight="1" spans="1:12">
      <c r="A11" s="17" t="s">
        <v>11</v>
      </c>
      <c r="B11" s="18"/>
      <c r="C11" s="18"/>
      <c r="D11" s="18"/>
      <c r="E11" s="18"/>
      <c r="F11" s="19"/>
      <c r="G11" s="18" t="s">
        <v>12</v>
      </c>
      <c r="H11" s="18"/>
      <c r="I11" s="18"/>
      <c r="J11" s="18"/>
      <c r="K11" s="18"/>
      <c r="L11" s="17"/>
    </row>
    <row r="12" ht="24" customHeight="1" spans="1:12">
      <c r="A12" s="20" t="s">
        <v>13</v>
      </c>
      <c r="B12" s="21" t="s">
        <v>3</v>
      </c>
      <c r="C12" s="21" t="s">
        <v>4</v>
      </c>
      <c r="D12" s="21" t="s">
        <v>5</v>
      </c>
      <c r="E12" s="21" t="s">
        <v>14</v>
      </c>
      <c r="F12" s="19"/>
      <c r="G12" s="21" t="s">
        <v>13</v>
      </c>
      <c r="H12" s="21" t="s">
        <v>15</v>
      </c>
      <c r="I12" s="21" t="s">
        <v>16</v>
      </c>
      <c r="J12" s="21" t="s">
        <v>17</v>
      </c>
      <c r="K12" s="21" t="s">
        <v>18</v>
      </c>
      <c r="L12" s="20" t="s">
        <v>14</v>
      </c>
    </row>
    <row r="13" ht="22" customHeight="1" spans="1:12">
      <c r="A13" s="22" t="s">
        <v>19</v>
      </c>
      <c r="B13" s="23">
        <f>SUMIFS(动物台账明细!$F:$F,动物台账明细!$C:$C,$A13,动物台账明细!$B:$B,B$12)</f>
        <v>24</v>
      </c>
      <c r="C13" s="23">
        <f>SUMIFS(动物台账明细!$F:$F,动物台账明细!$C:$C,$A13,动物台账明细!$B:$B,C$12)</f>
        <v>0</v>
      </c>
      <c r="D13" s="23">
        <f>SUMIFS(动物台账明细!$F:$F,动物台账明细!$C:$C,$A13,动物台账明细!$B:$B,D$12)</f>
        <v>0</v>
      </c>
      <c r="E13" s="23">
        <f>SUM(B13:D13)</f>
        <v>24</v>
      </c>
      <c r="F13" s="19"/>
      <c r="G13" s="24" t="s">
        <v>19</v>
      </c>
      <c r="H13" s="23">
        <f>SUMIFS(动物台账明细!$F:$F,动物台账明细!$C:$C,$G13,动物台账明细!$E:$E,H$12)</f>
        <v>6</v>
      </c>
      <c r="I13" s="23">
        <f>SUMIFS(动物台账明细!$F:$F,动物台账明细!$C:$C,$G13,动物台账明细!$E:$E,I$12)</f>
        <v>10</v>
      </c>
      <c r="J13" s="23">
        <f>SUMIFS(动物台账明细!$F:$F,动物台账明细!$C:$C,$G13,动物台账明细!$E:$E,J$12)</f>
        <v>8</v>
      </c>
      <c r="K13" s="23">
        <f>SUMIFS(动物台账明细!$F:$F,动物台账明细!$C:$C,$G13,动物台账明细!$E:$E,K$12)</f>
        <v>0</v>
      </c>
      <c r="L13" s="23">
        <f>SUM(H13:K13)</f>
        <v>24</v>
      </c>
    </row>
    <row r="14" ht="22" customHeight="1" spans="1:12">
      <c r="A14" s="22" t="s">
        <v>20</v>
      </c>
      <c r="B14" s="23">
        <f>SUMIFS(动物台账明细!$F:$F,动物台账明细!$C:$C,$A14,动物台账明细!$B:$B,B$12)</f>
        <v>0</v>
      </c>
      <c r="C14" s="23">
        <f>SUMIFS(动物台账明细!$F:$F,动物台账明细!$C:$C,$A14,动物台账明细!$B:$B,C$12)</f>
        <v>103</v>
      </c>
      <c r="D14" s="23">
        <f>SUMIFS(动物台账明细!$F:$F,动物台账明细!$C:$C,$A14,动物台账明细!$B:$B,D$12)</f>
        <v>0</v>
      </c>
      <c r="E14" s="23">
        <f>SUM(B14:D14)</f>
        <v>103</v>
      </c>
      <c r="F14" s="19"/>
      <c r="G14" s="24" t="s">
        <v>20</v>
      </c>
      <c r="H14" s="23">
        <f>SUMIFS(动物台账明细!$F:$F,动物台账明细!$C:$C,$G14,动物台账明细!$E:$E,H$12)</f>
        <v>5</v>
      </c>
      <c r="I14" s="23">
        <f>SUMIFS(动物台账明细!$F:$F,动物台账明细!$C:$C,$G14,动物台账明细!$E:$E,I$12)</f>
        <v>98</v>
      </c>
      <c r="J14" s="23">
        <f>SUMIFS(动物台账明细!$F:$F,动物台账明细!$C:$C,$G14,动物台账明细!$E:$E,J$12)</f>
        <v>0</v>
      </c>
      <c r="K14" s="23">
        <f>SUMIFS(动物台账明细!$F:$F,动物台账明细!$C:$C,$G14,动物台账明细!$E:$E,K$12)</f>
        <v>0</v>
      </c>
      <c r="L14" s="23">
        <f>SUM(H14:K14)</f>
        <v>103</v>
      </c>
    </row>
    <row r="15" ht="22" customHeight="1" spans="1:12">
      <c r="A15" s="22" t="s">
        <v>21</v>
      </c>
      <c r="B15" s="23">
        <f>SUMIFS(动物台账明细!$F:$F,动物台账明细!$C:$C,$A15,动物台账明细!$B:$B,B$12)</f>
        <v>0</v>
      </c>
      <c r="C15" s="23">
        <f>SUMIFS(动物台账明细!$F:$F,动物台账明细!$C:$C,$A15,动物台账明细!$B:$B,C$12)</f>
        <v>45</v>
      </c>
      <c r="D15" s="23">
        <f>SUMIFS(动物台账明细!$F:$F,动物台账明细!$C:$C,$A15,动物台账明细!$B:$B,D$12)</f>
        <v>0</v>
      </c>
      <c r="E15" s="23">
        <f>SUM(B15:D15)</f>
        <v>45</v>
      </c>
      <c r="F15" s="19"/>
      <c r="G15" s="24" t="s">
        <v>21</v>
      </c>
      <c r="H15" s="23">
        <f>SUMIFS(动物台账明细!$F:$F,动物台账明细!$C:$C,$G15,动物台账明细!$E:$E,H$12)</f>
        <v>35</v>
      </c>
      <c r="I15" s="23">
        <f>SUMIFS(动物台账明细!$F:$F,动物台账明细!$C:$C,$G15,动物台账明细!$E:$E,I$12)</f>
        <v>10</v>
      </c>
      <c r="J15" s="23">
        <f>SUMIFS(动物台账明细!$F:$F,动物台账明细!$C:$C,$G15,动物台账明细!$E:$E,J$12)</f>
        <v>0</v>
      </c>
      <c r="K15" s="23">
        <f>SUMIFS(动物台账明细!$F:$F,动物台账明细!$C:$C,$G15,动物台账明细!$E:$E,K$12)</f>
        <v>0</v>
      </c>
      <c r="L15" s="23">
        <f>SUM(H15:K15)</f>
        <v>45</v>
      </c>
    </row>
    <row r="16" ht="22" customHeight="1" spans="1:12">
      <c r="A16" s="22" t="s">
        <v>22</v>
      </c>
      <c r="B16" s="25">
        <f>SUMIFS(动物台账明细!$F:$F,动物台账明细!$C:$C,$A16,动物台账明细!$B:$B,B$12)</f>
        <v>0</v>
      </c>
      <c r="C16" s="25">
        <f>SUMIFS(动物台账明细!$F:$F,动物台账明细!$C:$C,$A16,动物台账明细!$B:$B,C$12)</f>
        <v>0</v>
      </c>
      <c r="D16" s="25">
        <f>SUMIFS(动物台账明细!$F:$F,动物台账明细!$C:$C,$A16,动物台账明细!$B:$B,D$12)</f>
        <v>30</v>
      </c>
      <c r="E16" s="25">
        <f>SUM(B16:D16)</f>
        <v>30</v>
      </c>
      <c r="F16" s="26"/>
      <c r="G16" s="24" t="s">
        <v>22</v>
      </c>
      <c r="H16" s="25">
        <f>SUMIFS(动物台账明细!$F:$F,动物台账明细!$C:$C,$G16,动物台账明细!$E:$E,H$12)</f>
        <v>0</v>
      </c>
      <c r="I16" s="25">
        <f>SUMIFS(动物台账明细!$F:$F,动物台账明细!$C:$C,$G16,动物台账明细!$E:$E,I$12)</f>
        <v>0</v>
      </c>
      <c r="J16" s="25">
        <f>SUMIFS(动物台账明细!$F:$F,动物台账明细!$C:$C,$G16,动物台账明细!$E:$E,J$12)</f>
        <v>0</v>
      </c>
      <c r="K16" s="25">
        <f>SUMIFS(动物台账明细!$F:$F,动物台账明细!$C:$C,$G16,动物台账明细!$E:$E,K$12)</f>
        <v>30</v>
      </c>
      <c r="L16" s="25">
        <f>SUM(H16:K16)</f>
        <v>30</v>
      </c>
    </row>
    <row r="17" ht="22" customHeight="1" spans="1:12">
      <c r="A17" s="22" t="s">
        <v>23</v>
      </c>
      <c r="B17" s="27">
        <f>SUMIFS(动物台账明细!$F:$F,动物台账明细!$C:$C,$A17,动物台账明细!$B:$B,B$12)</f>
        <v>0</v>
      </c>
      <c r="C17" s="27">
        <f>SUMIFS(动物台账明细!$F:$F,动物台账明细!$C:$C,$A17,动物台账明细!$B:$B,C$12)</f>
        <v>0</v>
      </c>
      <c r="D17" s="27">
        <f>SUMIFS(动物台账明细!$F:$F,动物台账明细!$C:$C,$A17,动物台账明细!$B:$B,D$12)</f>
        <v>12</v>
      </c>
      <c r="E17" s="27">
        <f>SUM(B17:D17)</f>
        <v>12</v>
      </c>
      <c r="F17" s="28"/>
      <c r="G17" s="22" t="s">
        <v>23</v>
      </c>
      <c r="H17" s="27">
        <f>SUMIFS(动物台账明细!$F:$F,动物台账明细!$C:$C,$G17,动物台账明细!$E:$E,H$12)</f>
        <v>0</v>
      </c>
      <c r="I17" s="27">
        <f>SUMIFS(动物台账明细!$F:$F,动物台账明细!$C:$C,$G17,动物台账明细!$E:$E,I$12)</f>
        <v>0</v>
      </c>
      <c r="J17" s="27">
        <f>SUMIFS(动物台账明细!$F:$F,动物台账明细!$C:$C,$G17,动物台账明细!$E:$E,J$12)</f>
        <v>0</v>
      </c>
      <c r="K17" s="27">
        <f>SUMIFS(动物台账明细!$F:$F,动物台账明细!$C:$C,$G17,动物台账明细!$E:$E,K$12)</f>
        <v>12</v>
      </c>
      <c r="L17" s="27">
        <f>SUM(H17:K17)</f>
        <v>12</v>
      </c>
    </row>
    <row r="18" ht="22" customHeight="1" spans="1:12">
      <c r="A18" s="29" t="s">
        <v>14</v>
      </c>
      <c r="B18" s="30">
        <f>SUM(B13:B17)</f>
        <v>24</v>
      </c>
      <c r="C18" s="30">
        <f>SUM(C13:C17)</f>
        <v>148</v>
      </c>
      <c r="D18" s="30">
        <f>SUM(D13:D17)</f>
        <v>42</v>
      </c>
      <c r="E18" s="30">
        <f>SUM(E13:E17)</f>
        <v>214</v>
      </c>
      <c r="F18" s="28"/>
      <c r="G18" s="29" t="s">
        <v>14</v>
      </c>
      <c r="H18" s="30">
        <f>SUM(H13:H17)</f>
        <v>46</v>
      </c>
      <c r="I18" s="30">
        <f>SUM(I13:I17)</f>
        <v>118</v>
      </c>
      <c r="J18" s="30">
        <f>SUM(J13:J17)</f>
        <v>8</v>
      </c>
      <c r="K18" s="30">
        <f>SUM(K13:K17)</f>
        <v>42</v>
      </c>
      <c r="L18" s="30">
        <f>SUM(L13:L17)</f>
        <v>214</v>
      </c>
    </row>
    <row r="19" spans="1:1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30" customHeight="1" spans="1:12">
      <c r="A21" s="17" t="s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ht="30" customHeight="1" spans="1:12">
      <c r="A22" s="20" t="s">
        <v>13</v>
      </c>
      <c r="B22" s="20" t="s">
        <v>25</v>
      </c>
      <c r="C22" s="20" t="s">
        <v>26</v>
      </c>
      <c r="D22" s="20" t="s">
        <v>27</v>
      </c>
      <c r="E22" s="20" t="s">
        <v>28</v>
      </c>
      <c r="F22" s="20"/>
      <c r="G22" s="20"/>
      <c r="H22" s="20"/>
      <c r="I22" s="20"/>
      <c r="J22" s="20"/>
      <c r="K22" s="20"/>
      <c r="L22" s="20"/>
    </row>
    <row r="23" ht="30" customHeight="1" spans="1:12">
      <c r="A23" s="22" t="s">
        <v>19</v>
      </c>
      <c r="B23" s="27">
        <v>1</v>
      </c>
      <c r="C23" s="27">
        <v>1</v>
      </c>
      <c r="D23" s="31" t="s">
        <v>29</v>
      </c>
      <c r="E23" s="31"/>
      <c r="F23" s="31"/>
      <c r="G23" s="31"/>
      <c r="H23" s="31"/>
      <c r="I23" s="31" t="s">
        <v>30</v>
      </c>
      <c r="J23" s="31"/>
      <c r="K23" s="31"/>
      <c r="L23" s="31"/>
    </row>
    <row r="24" ht="30" customHeight="1" spans="1:12">
      <c r="A24" s="22" t="s">
        <v>20</v>
      </c>
      <c r="B24" s="27">
        <v>1</v>
      </c>
      <c r="C24" s="27">
        <v>1</v>
      </c>
      <c r="D24" s="31" t="s">
        <v>31</v>
      </c>
      <c r="E24" s="31"/>
      <c r="F24" s="31"/>
      <c r="G24" s="31"/>
      <c r="H24" s="31"/>
      <c r="I24" s="31" t="s">
        <v>32</v>
      </c>
      <c r="J24" s="31"/>
      <c r="K24" s="31"/>
      <c r="L24" s="31"/>
    </row>
    <row r="25" ht="30" customHeight="1" spans="1:12">
      <c r="A25" s="22" t="s">
        <v>21</v>
      </c>
      <c r="B25" s="27">
        <v>1</v>
      </c>
      <c r="C25" s="27">
        <v>2</v>
      </c>
      <c r="D25" s="31" t="s">
        <v>33</v>
      </c>
      <c r="E25" s="31"/>
      <c r="F25" s="31"/>
      <c r="G25" s="31"/>
      <c r="H25" s="31"/>
      <c r="I25" s="31" t="s">
        <v>34</v>
      </c>
      <c r="J25" s="31"/>
      <c r="K25" s="31"/>
      <c r="L25" s="31"/>
    </row>
    <row r="26" ht="30" customHeight="1" spans="1:12">
      <c r="A26" s="22" t="s">
        <v>22</v>
      </c>
      <c r="B26" s="27">
        <v>5</v>
      </c>
      <c r="C26" s="27">
        <v>5</v>
      </c>
      <c r="D26" s="31" t="s">
        <v>35</v>
      </c>
      <c r="E26" s="31"/>
      <c r="F26" s="31"/>
      <c r="G26" s="31"/>
      <c r="H26" s="31"/>
      <c r="I26" s="31" t="s">
        <v>36</v>
      </c>
      <c r="J26" s="31"/>
      <c r="K26" s="31"/>
      <c r="L26" s="31"/>
    </row>
    <row r="27" ht="30" customHeight="1" spans="1:12">
      <c r="A27" s="22" t="s">
        <v>23</v>
      </c>
      <c r="B27" s="27">
        <v>4</v>
      </c>
      <c r="C27" s="27">
        <v>4</v>
      </c>
      <c r="D27" s="31" t="s">
        <v>37</v>
      </c>
      <c r="E27" s="31"/>
      <c r="F27" s="31"/>
      <c r="G27" s="31"/>
      <c r="H27" s="31"/>
      <c r="I27" s="31" t="s">
        <v>36</v>
      </c>
      <c r="J27" s="31"/>
      <c r="K27" s="31"/>
      <c r="L27" s="31"/>
    </row>
    <row r="28" ht="30" customHeight="1" spans="1:12">
      <c r="A28" s="29" t="s">
        <v>14</v>
      </c>
      <c r="B28" s="30">
        <v>12</v>
      </c>
      <c r="C28" s="30">
        <v>13</v>
      </c>
      <c r="D28" s="32" t="s">
        <v>38</v>
      </c>
      <c r="E28" s="32"/>
      <c r="F28" s="32"/>
      <c r="G28" s="32"/>
      <c r="H28" s="32"/>
      <c r="I28" s="32" t="s">
        <v>39</v>
      </c>
      <c r="J28" s="32"/>
      <c r="K28" s="32"/>
      <c r="L28" s="32"/>
    </row>
  </sheetData>
  <mergeCells count="38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9:L9"/>
    <mergeCell ref="A11:E11"/>
    <mergeCell ref="G11:L11"/>
    <mergeCell ref="A21:L21"/>
    <mergeCell ref="D22:H22"/>
    <mergeCell ref="I22:L22"/>
    <mergeCell ref="D23:H23"/>
    <mergeCell ref="I23:L23"/>
    <mergeCell ref="D24:H24"/>
    <mergeCell ref="I24:L24"/>
    <mergeCell ref="D25:H25"/>
    <mergeCell ref="I25:L25"/>
    <mergeCell ref="D26:H26"/>
    <mergeCell ref="I26:L26"/>
    <mergeCell ref="D27:H27"/>
    <mergeCell ref="I27:L27"/>
    <mergeCell ref="D28:H28"/>
    <mergeCell ref="I28:L28"/>
  </mergeCells>
  <conditionalFormatting sqref="J11:K16">
    <cfRule type="expression" dxfId="0" priority="2">
      <formula>J11&gt;0</formula>
    </cfRule>
  </conditionalFormatting>
  <conditionalFormatting sqref="B13:E18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{f6646d4f-daef-49f1-acae-c681839a3b7d}</x14:id>
        </ext>
      </extLst>
    </cfRule>
  </conditionalFormatting>
  <conditionalFormatting sqref="H13:L18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{ba9b21ee-bba4-432f-9ea4-2229faa32163}</x14:id>
        </ext>
      </extLst>
    </cfRule>
  </conditionalFormatting>
  <conditionalFormatting sqref="B23:C28"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{0e9cf81c-e3e5-400b-a2b4-f111530b6c73}</x14:id>
        </ext>
      </extLst>
    </cfRule>
    <cfRule type="cellIs" dxfId="1" priority="6" operator="greaterThan">
      <formula>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646d4f-daef-49f1-acae-c681839a3b7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B13:E18</xm:sqref>
        </x14:conditionalFormatting>
        <x14:conditionalFormatting xmlns:xm="http://schemas.microsoft.com/office/excel/2006/main">
          <x14:cfRule type="dataBar" id="{ba9b21ee-bba4-432f-9ea4-2229faa3216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H13:L18</xm:sqref>
        </x14:conditionalFormatting>
        <x14:conditionalFormatting xmlns:xm="http://schemas.microsoft.com/office/excel/2006/main">
          <x14:cfRule type="dataBar" id="{0e9cf81c-e3e5-400b-a2b4-f111530b6c7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B23:C28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workbookViewId="0">
      <selection activeCell="A1" sqref="A1:V1"/>
    </sheetView>
  </sheetViews>
  <sheetFormatPr defaultColWidth="9" defaultRowHeight="15"/>
  <cols>
    <col min="1" max="1" width="10" customWidth="1"/>
    <col min="2" max="2" width="14" customWidth="1"/>
    <col min="3" max="3" width="18" customWidth="1"/>
    <col min="4" max="4" width="16" customWidth="1"/>
    <col min="5" max="5" width="12" customWidth="1"/>
    <col min="6" max="6" width="10" customWidth="1"/>
    <col min="7" max="7" width="38" customWidth="1"/>
    <col min="8" max="8" width="13" customWidth="1"/>
    <col min="9" max="9" width="12" customWidth="1"/>
    <col min="10" max="11" width="14" customWidth="1"/>
    <col min="12" max="14" width="12" customWidth="1"/>
    <col min="15" max="15" width="10" customWidth="1"/>
    <col min="16" max="16" width="12" customWidth="1"/>
    <col min="17" max="18" width="16" customWidth="1"/>
    <col min="19" max="19" width="20" customWidth="1"/>
    <col min="20" max="20" width="18" customWidth="1"/>
    <col min="21" max="21" width="34" customWidth="1"/>
    <col min="22" max="22" width="42" customWidth="1"/>
  </cols>
  <sheetData>
    <row r="1" ht="28" customHeight="1" spans="1:22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30" customHeight="1" spans="1:22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38" customHeight="1" spans="1:22">
      <c r="A3" s="6" t="s">
        <v>42</v>
      </c>
      <c r="B3" s="6" t="s">
        <v>43</v>
      </c>
      <c r="C3" s="6" t="s">
        <v>13</v>
      </c>
      <c r="D3" s="6" t="s">
        <v>44</v>
      </c>
      <c r="E3" s="6" t="s">
        <v>45</v>
      </c>
      <c r="F3" s="6" t="s">
        <v>46</v>
      </c>
      <c r="G3" s="6" t="s">
        <v>47</v>
      </c>
      <c r="H3" s="3" t="s">
        <v>48</v>
      </c>
      <c r="I3" s="6" t="s">
        <v>49</v>
      </c>
      <c r="J3" s="6" t="s">
        <v>50</v>
      </c>
      <c r="K3" s="6" t="s">
        <v>51</v>
      </c>
      <c r="L3" s="6" t="s">
        <v>52</v>
      </c>
      <c r="M3" s="6" t="s">
        <v>53</v>
      </c>
      <c r="N3" s="6" t="s">
        <v>54</v>
      </c>
      <c r="O3" s="6" t="s">
        <v>55</v>
      </c>
      <c r="P3" s="6" t="s">
        <v>56</v>
      </c>
      <c r="Q3" s="6" t="s">
        <v>57</v>
      </c>
      <c r="R3" s="6" t="s">
        <v>58</v>
      </c>
      <c r="S3" s="6" t="s">
        <v>59</v>
      </c>
      <c r="T3" s="6" t="s">
        <v>60</v>
      </c>
      <c r="U3" s="6" t="s">
        <v>61</v>
      </c>
      <c r="V3" s="6" t="s">
        <v>62</v>
      </c>
    </row>
    <row r="4" ht="45" spans="1:22">
      <c r="A4" s="9" t="s">
        <v>63</v>
      </c>
      <c r="B4" s="9" t="s">
        <v>3</v>
      </c>
      <c r="C4" s="9" t="s">
        <v>19</v>
      </c>
      <c r="D4" s="9" t="s">
        <v>64</v>
      </c>
      <c r="E4" s="9" t="s">
        <v>17</v>
      </c>
      <c r="F4" s="10">
        <v>5</v>
      </c>
      <c r="G4" s="9" t="s">
        <v>65</v>
      </c>
      <c r="H4" s="11">
        <v>45863</v>
      </c>
      <c r="I4" s="12">
        <v>46060</v>
      </c>
      <c r="J4" s="12"/>
      <c r="K4" s="12"/>
      <c r="L4" s="9" t="s">
        <v>66</v>
      </c>
      <c r="M4" s="9" t="s">
        <v>67</v>
      </c>
      <c r="N4" s="9" t="s">
        <v>68</v>
      </c>
      <c r="O4" s="9" t="s">
        <v>68</v>
      </c>
      <c r="P4" s="9" t="s">
        <v>68</v>
      </c>
      <c r="Q4" s="9" t="s">
        <v>68</v>
      </c>
      <c r="R4" s="9" t="s">
        <v>69</v>
      </c>
      <c r="S4" s="9" t="s">
        <v>70</v>
      </c>
      <c r="T4" s="9" t="s">
        <v>68</v>
      </c>
      <c r="U4" s="9" t="s">
        <v>71</v>
      </c>
      <c r="V4" s="9" t="s">
        <v>72</v>
      </c>
    </row>
    <row r="5" ht="30" spans="1:22">
      <c r="A5" s="9" t="s">
        <v>73</v>
      </c>
      <c r="B5" s="9" t="s">
        <v>3</v>
      </c>
      <c r="C5" s="9" t="s">
        <v>19</v>
      </c>
      <c r="D5" s="9" t="s">
        <v>17</v>
      </c>
      <c r="E5" s="9" t="s">
        <v>17</v>
      </c>
      <c r="F5" s="10">
        <v>3</v>
      </c>
      <c r="G5" s="9" t="s">
        <v>74</v>
      </c>
      <c r="H5" s="11">
        <v>45863</v>
      </c>
      <c r="I5" s="12"/>
      <c r="J5" s="12"/>
      <c r="K5" s="12"/>
      <c r="L5" s="9" t="s">
        <v>75</v>
      </c>
      <c r="M5" s="9" t="s">
        <v>67</v>
      </c>
      <c r="N5" s="9" t="s">
        <v>68</v>
      </c>
      <c r="O5" s="9" t="s">
        <v>68</v>
      </c>
      <c r="P5" s="9" t="s">
        <v>68</v>
      </c>
      <c r="Q5" s="9" t="s">
        <v>68</v>
      </c>
      <c r="R5" s="9" t="s">
        <v>69</v>
      </c>
      <c r="S5" s="9" t="s">
        <v>17</v>
      </c>
      <c r="T5" s="9" t="s">
        <v>68</v>
      </c>
      <c r="U5" s="9" t="s">
        <v>76</v>
      </c>
      <c r="V5" s="9" t="s">
        <v>77</v>
      </c>
    </row>
    <row r="6" ht="43.5" spans="1:22">
      <c r="A6" s="9" t="s">
        <v>78</v>
      </c>
      <c r="B6" s="9" t="s">
        <v>3</v>
      </c>
      <c r="C6" s="9" t="s">
        <v>19</v>
      </c>
      <c r="D6" s="9" t="s">
        <v>79</v>
      </c>
      <c r="E6" s="9" t="s">
        <v>15</v>
      </c>
      <c r="F6" s="10">
        <v>2</v>
      </c>
      <c r="G6" s="9" t="s">
        <v>80</v>
      </c>
      <c r="H6" s="11"/>
      <c r="I6" s="12"/>
      <c r="J6" s="12"/>
      <c r="K6" s="12"/>
      <c r="L6" s="9" t="s">
        <v>68</v>
      </c>
      <c r="M6" s="9" t="s">
        <v>81</v>
      </c>
      <c r="N6" s="9" t="s">
        <v>68</v>
      </c>
      <c r="O6" s="9" t="s">
        <v>68</v>
      </c>
      <c r="P6" s="9" t="s">
        <v>68</v>
      </c>
      <c r="Q6" s="9" t="s">
        <v>68</v>
      </c>
      <c r="R6" s="9" t="s">
        <v>69</v>
      </c>
      <c r="S6" s="9" t="s">
        <v>79</v>
      </c>
      <c r="T6" s="9" t="s">
        <v>68</v>
      </c>
      <c r="U6" s="9" t="s">
        <v>82</v>
      </c>
      <c r="V6" s="9" t="s">
        <v>83</v>
      </c>
    </row>
    <row r="7" ht="45" spans="1:22">
      <c r="A7" s="9" t="s">
        <v>84</v>
      </c>
      <c r="B7" s="9" t="s">
        <v>3</v>
      </c>
      <c r="C7" s="9" t="s">
        <v>19</v>
      </c>
      <c r="D7" s="9" t="s">
        <v>85</v>
      </c>
      <c r="E7" s="9" t="s">
        <v>15</v>
      </c>
      <c r="F7" s="10">
        <v>4</v>
      </c>
      <c r="G7" s="9" t="s">
        <v>86</v>
      </c>
      <c r="H7" s="11"/>
      <c r="I7" s="12"/>
      <c r="J7" s="12">
        <v>46159</v>
      </c>
      <c r="K7" s="12"/>
      <c r="L7" s="9" t="s">
        <v>75</v>
      </c>
      <c r="M7" s="9" t="s">
        <v>67</v>
      </c>
      <c r="N7" s="9" t="s">
        <v>68</v>
      </c>
      <c r="O7" s="9" t="s">
        <v>68</v>
      </c>
      <c r="P7" s="9" t="s">
        <v>68</v>
      </c>
      <c r="Q7" s="9" t="s">
        <v>68</v>
      </c>
      <c r="R7" s="9" t="s">
        <v>69</v>
      </c>
      <c r="S7" s="9" t="s">
        <v>85</v>
      </c>
      <c r="T7" s="9" t="s">
        <v>68</v>
      </c>
      <c r="U7" s="9" t="s">
        <v>87</v>
      </c>
      <c r="V7" s="9" t="s">
        <v>88</v>
      </c>
    </row>
    <row r="8" ht="28.5" spans="1:22">
      <c r="A8" s="9" t="s">
        <v>89</v>
      </c>
      <c r="B8" s="9" t="s">
        <v>3</v>
      </c>
      <c r="C8" s="9" t="s">
        <v>19</v>
      </c>
      <c r="D8" s="9" t="s">
        <v>90</v>
      </c>
      <c r="E8" s="9" t="s">
        <v>16</v>
      </c>
      <c r="F8" s="10">
        <v>10</v>
      </c>
      <c r="G8" s="9" t="s">
        <v>91</v>
      </c>
      <c r="H8" s="11"/>
      <c r="I8" s="12"/>
      <c r="J8" s="12"/>
      <c r="K8" s="12">
        <v>46179</v>
      </c>
      <c r="L8" s="9" t="s">
        <v>66</v>
      </c>
      <c r="M8" s="9" t="s">
        <v>92</v>
      </c>
      <c r="N8" s="9" t="s">
        <v>68</v>
      </c>
      <c r="O8" s="9" t="s">
        <v>68</v>
      </c>
      <c r="P8" s="9" t="s">
        <v>68</v>
      </c>
      <c r="Q8" s="9" t="s">
        <v>68</v>
      </c>
      <c r="R8" s="9" t="s">
        <v>69</v>
      </c>
      <c r="S8" s="9" t="s">
        <v>90</v>
      </c>
      <c r="T8" s="9" t="s">
        <v>68</v>
      </c>
      <c r="U8" s="9" t="s">
        <v>93</v>
      </c>
      <c r="V8" s="9" t="s">
        <v>72</v>
      </c>
    </row>
    <row r="9" ht="30" spans="1:22">
      <c r="A9" s="9" t="s">
        <v>94</v>
      </c>
      <c r="B9" s="9" t="s">
        <v>4</v>
      </c>
      <c r="C9" s="9" t="s">
        <v>20</v>
      </c>
      <c r="D9" s="9" t="s">
        <v>95</v>
      </c>
      <c r="E9" s="9" t="s">
        <v>15</v>
      </c>
      <c r="F9" s="10">
        <v>5</v>
      </c>
      <c r="G9" s="9" t="s">
        <v>96</v>
      </c>
      <c r="H9" s="11"/>
      <c r="I9" s="12"/>
      <c r="J9" s="12">
        <v>46162</v>
      </c>
      <c r="K9" s="12"/>
      <c r="L9" s="9" t="s">
        <v>66</v>
      </c>
      <c r="M9" s="9" t="s">
        <v>81</v>
      </c>
      <c r="N9" s="9" t="s">
        <v>68</v>
      </c>
      <c r="O9" s="9" t="s">
        <v>68</v>
      </c>
      <c r="P9" s="9" t="s">
        <v>68</v>
      </c>
      <c r="Q9" s="9" t="s">
        <v>68</v>
      </c>
      <c r="R9" s="9" t="s">
        <v>69</v>
      </c>
      <c r="S9" s="9" t="s">
        <v>97</v>
      </c>
      <c r="T9" s="9" t="s">
        <v>68</v>
      </c>
      <c r="U9" s="9" t="s">
        <v>98</v>
      </c>
      <c r="V9" s="9" t="s">
        <v>99</v>
      </c>
    </row>
    <row r="10" ht="28.5" spans="1:22">
      <c r="A10" s="9" t="s">
        <v>100</v>
      </c>
      <c r="B10" s="9" t="s">
        <v>4</v>
      </c>
      <c r="C10" s="9" t="s">
        <v>20</v>
      </c>
      <c r="D10" s="9" t="s">
        <v>101</v>
      </c>
      <c r="E10" s="9" t="s">
        <v>16</v>
      </c>
      <c r="F10" s="10">
        <v>98</v>
      </c>
      <c r="G10" s="9" t="s">
        <v>102</v>
      </c>
      <c r="H10" s="11"/>
      <c r="I10" s="12"/>
      <c r="J10" s="12"/>
      <c r="K10" s="12"/>
      <c r="L10" s="9" t="s">
        <v>68</v>
      </c>
      <c r="M10" s="9" t="s">
        <v>67</v>
      </c>
      <c r="N10" s="9" t="s">
        <v>68</v>
      </c>
      <c r="O10" s="9" t="s">
        <v>68</v>
      </c>
      <c r="P10" s="9" t="s">
        <v>68</v>
      </c>
      <c r="Q10" s="9" t="s">
        <v>68</v>
      </c>
      <c r="R10" s="9" t="s">
        <v>69</v>
      </c>
      <c r="S10" s="9" t="s">
        <v>90</v>
      </c>
      <c r="T10" s="9" t="s">
        <v>68</v>
      </c>
      <c r="U10" s="9" t="s">
        <v>103</v>
      </c>
      <c r="V10" s="9" t="s">
        <v>104</v>
      </c>
    </row>
    <row r="11" ht="30" spans="1:22">
      <c r="A11" s="9" t="s">
        <v>105</v>
      </c>
      <c r="B11" s="9" t="s">
        <v>4</v>
      </c>
      <c r="C11" s="9" t="s">
        <v>21</v>
      </c>
      <c r="D11" s="9" t="s">
        <v>106</v>
      </c>
      <c r="E11" s="9" t="s">
        <v>15</v>
      </c>
      <c r="F11" s="10">
        <v>35</v>
      </c>
      <c r="G11" s="9" t="s">
        <v>107</v>
      </c>
      <c r="H11" s="11"/>
      <c r="I11" s="12"/>
      <c r="J11" s="12"/>
      <c r="K11" s="12"/>
      <c r="L11" s="9" t="s">
        <v>68</v>
      </c>
      <c r="M11" s="9" t="s">
        <v>81</v>
      </c>
      <c r="N11" s="9" t="s">
        <v>68</v>
      </c>
      <c r="O11" s="9" t="s">
        <v>68</v>
      </c>
      <c r="P11" s="9" t="s">
        <v>68</v>
      </c>
      <c r="Q11" s="9" t="s">
        <v>68</v>
      </c>
      <c r="R11" s="9" t="s">
        <v>69</v>
      </c>
      <c r="S11" s="9" t="s">
        <v>108</v>
      </c>
      <c r="T11" s="9" t="s">
        <v>68</v>
      </c>
      <c r="U11" s="9" t="s">
        <v>109</v>
      </c>
      <c r="V11" s="9" t="s">
        <v>110</v>
      </c>
    </row>
    <row r="12" ht="28.5" spans="1:22">
      <c r="A12" s="9" t="s">
        <v>111</v>
      </c>
      <c r="B12" s="9" t="s">
        <v>4</v>
      </c>
      <c r="C12" s="9" t="s">
        <v>21</v>
      </c>
      <c r="D12" s="9" t="s">
        <v>101</v>
      </c>
      <c r="E12" s="9" t="s">
        <v>16</v>
      </c>
      <c r="F12" s="10">
        <v>10</v>
      </c>
      <c r="G12" s="9" t="s">
        <v>112</v>
      </c>
      <c r="H12" s="11"/>
      <c r="I12" s="12"/>
      <c r="J12" s="12"/>
      <c r="K12" s="12"/>
      <c r="L12" s="9" t="s">
        <v>68</v>
      </c>
      <c r="M12" s="9" t="s">
        <v>67</v>
      </c>
      <c r="N12" s="9" t="s">
        <v>68</v>
      </c>
      <c r="O12" s="9" t="s">
        <v>68</v>
      </c>
      <c r="P12" s="9" t="s">
        <v>68</v>
      </c>
      <c r="Q12" s="9" t="s">
        <v>68</v>
      </c>
      <c r="R12" s="9" t="s">
        <v>69</v>
      </c>
      <c r="S12" s="9" t="s">
        <v>90</v>
      </c>
      <c r="T12" s="9" t="s">
        <v>68</v>
      </c>
      <c r="U12" s="9" t="s">
        <v>103</v>
      </c>
      <c r="V12" s="9" t="s">
        <v>104</v>
      </c>
    </row>
    <row r="13" ht="30" spans="1:22">
      <c r="A13" s="9" t="s">
        <v>113</v>
      </c>
      <c r="B13" s="9" t="s">
        <v>5</v>
      </c>
      <c r="C13" s="9" t="s">
        <v>22</v>
      </c>
      <c r="D13" s="9" t="s">
        <v>114</v>
      </c>
      <c r="E13" s="9" t="s">
        <v>18</v>
      </c>
      <c r="F13" s="10">
        <v>8</v>
      </c>
      <c r="G13" s="9" t="s">
        <v>115</v>
      </c>
      <c r="H13" s="11"/>
      <c r="I13" s="12"/>
      <c r="J13" s="12"/>
      <c r="K13" s="12"/>
      <c r="L13" s="9" t="s">
        <v>68</v>
      </c>
      <c r="M13" s="9" t="s">
        <v>81</v>
      </c>
      <c r="N13" s="9" t="s">
        <v>68</v>
      </c>
      <c r="O13" s="9" t="s">
        <v>68</v>
      </c>
      <c r="P13" s="9" t="s">
        <v>68</v>
      </c>
      <c r="Q13" s="9" t="s">
        <v>68</v>
      </c>
      <c r="R13" s="9" t="s">
        <v>68</v>
      </c>
      <c r="S13" s="9" t="s">
        <v>116</v>
      </c>
      <c r="T13" s="9" t="s">
        <v>68</v>
      </c>
      <c r="U13" s="9" t="s">
        <v>117</v>
      </c>
      <c r="V13" s="9" t="s">
        <v>118</v>
      </c>
    </row>
    <row r="14" ht="30" spans="1:22">
      <c r="A14" s="9" t="s">
        <v>119</v>
      </c>
      <c r="B14" s="9" t="s">
        <v>5</v>
      </c>
      <c r="C14" s="9" t="s">
        <v>22</v>
      </c>
      <c r="D14" s="9" t="s">
        <v>120</v>
      </c>
      <c r="E14" s="9" t="s">
        <v>18</v>
      </c>
      <c r="F14" s="10">
        <v>7</v>
      </c>
      <c r="G14" s="9" t="s">
        <v>115</v>
      </c>
      <c r="H14" s="11"/>
      <c r="I14" s="12"/>
      <c r="J14" s="12"/>
      <c r="K14" s="12"/>
      <c r="L14" s="9" t="s">
        <v>68</v>
      </c>
      <c r="M14" s="9" t="s">
        <v>81</v>
      </c>
      <c r="N14" s="9" t="s">
        <v>68</v>
      </c>
      <c r="O14" s="9" t="s">
        <v>68</v>
      </c>
      <c r="P14" s="9" t="s">
        <v>68</v>
      </c>
      <c r="Q14" s="9" t="s">
        <v>68</v>
      </c>
      <c r="R14" s="9" t="s">
        <v>68</v>
      </c>
      <c r="S14" s="9" t="s">
        <v>116</v>
      </c>
      <c r="T14" s="9" t="s">
        <v>68</v>
      </c>
      <c r="U14" s="9" t="s">
        <v>117</v>
      </c>
      <c r="V14" s="9" t="s">
        <v>118</v>
      </c>
    </row>
    <row r="15" ht="30" spans="1:22">
      <c r="A15" s="9" t="s">
        <v>121</v>
      </c>
      <c r="B15" s="9" t="s">
        <v>5</v>
      </c>
      <c r="C15" s="9" t="s">
        <v>22</v>
      </c>
      <c r="D15" s="9" t="s">
        <v>122</v>
      </c>
      <c r="E15" s="9" t="s">
        <v>18</v>
      </c>
      <c r="F15" s="10">
        <v>7</v>
      </c>
      <c r="G15" s="9" t="s">
        <v>115</v>
      </c>
      <c r="H15" s="11"/>
      <c r="I15" s="12"/>
      <c r="J15" s="12"/>
      <c r="K15" s="12"/>
      <c r="L15" s="9" t="s">
        <v>68</v>
      </c>
      <c r="M15" s="9" t="s">
        <v>81</v>
      </c>
      <c r="N15" s="9" t="s">
        <v>68</v>
      </c>
      <c r="O15" s="9" t="s">
        <v>68</v>
      </c>
      <c r="P15" s="9" t="s">
        <v>68</v>
      </c>
      <c r="Q15" s="9" t="s">
        <v>68</v>
      </c>
      <c r="R15" s="9" t="s">
        <v>68</v>
      </c>
      <c r="S15" s="9" t="s">
        <v>116</v>
      </c>
      <c r="T15" s="9" t="s">
        <v>68</v>
      </c>
      <c r="U15" s="9" t="s">
        <v>117</v>
      </c>
      <c r="V15" s="9" t="s">
        <v>118</v>
      </c>
    </row>
    <row r="16" ht="30" spans="1:22">
      <c r="A16" s="9" t="s">
        <v>123</v>
      </c>
      <c r="B16" s="9" t="s">
        <v>5</v>
      </c>
      <c r="C16" s="9" t="s">
        <v>22</v>
      </c>
      <c r="D16" s="9" t="s">
        <v>124</v>
      </c>
      <c r="E16" s="9" t="s">
        <v>18</v>
      </c>
      <c r="F16" s="10">
        <v>3</v>
      </c>
      <c r="G16" s="9" t="s">
        <v>115</v>
      </c>
      <c r="H16" s="11"/>
      <c r="I16" s="12"/>
      <c r="J16" s="12"/>
      <c r="K16" s="12"/>
      <c r="L16" s="9" t="s">
        <v>68</v>
      </c>
      <c r="M16" s="9" t="s">
        <v>81</v>
      </c>
      <c r="N16" s="9" t="s">
        <v>68</v>
      </c>
      <c r="O16" s="9" t="s">
        <v>68</v>
      </c>
      <c r="P16" s="9" t="s">
        <v>68</v>
      </c>
      <c r="Q16" s="9" t="s">
        <v>68</v>
      </c>
      <c r="R16" s="9" t="s">
        <v>68</v>
      </c>
      <c r="S16" s="9" t="s">
        <v>116</v>
      </c>
      <c r="T16" s="9" t="s">
        <v>68</v>
      </c>
      <c r="U16" s="9" t="s">
        <v>117</v>
      </c>
      <c r="V16" s="9" t="s">
        <v>118</v>
      </c>
    </row>
    <row r="17" ht="30" spans="1:22">
      <c r="A17" s="9" t="s">
        <v>125</v>
      </c>
      <c r="B17" s="9" t="s">
        <v>5</v>
      </c>
      <c r="C17" s="9" t="s">
        <v>22</v>
      </c>
      <c r="D17" s="9" t="s">
        <v>126</v>
      </c>
      <c r="E17" s="9" t="s">
        <v>18</v>
      </c>
      <c r="F17" s="10">
        <v>5</v>
      </c>
      <c r="G17" s="9" t="s">
        <v>115</v>
      </c>
      <c r="H17" s="11"/>
      <c r="I17" s="12"/>
      <c r="J17" s="12"/>
      <c r="K17" s="12"/>
      <c r="L17" s="9" t="s">
        <v>68</v>
      </c>
      <c r="M17" s="9" t="s">
        <v>81</v>
      </c>
      <c r="N17" s="9" t="s">
        <v>68</v>
      </c>
      <c r="O17" s="9" t="s">
        <v>68</v>
      </c>
      <c r="P17" s="9" t="s">
        <v>68</v>
      </c>
      <c r="Q17" s="9" t="s">
        <v>68</v>
      </c>
      <c r="R17" s="9" t="s">
        <v>68</v>
      </c>
      <c r="S17" s="9" t="s">
        <v>116</v>
      </c>
      <c r="T17" s="9" t="s">
        <v>68</v>
      </c>
      <c r="U17" s="9" t="s">
        <v>117</v>
      </c>
      <c r="V17" s="9" t="s">
        <v>118</v>
      </c>
    </row>
    <row r="18" ht="30" spans="1:22">
      <c r="A18" s="9" t="s">
        <v>127</v>
      </c>
      <c r="B18" s="9" t="s">
        <v>5</v>
      </c>
      <c r="C18" s="9" t="s">
        <v>23</v>
      </c>
      <c r="D18" s="9" t="s">
        <v>114</v>
      </c>
      <c r="E18" s="9" t="s">
        <v>18</v>
      </c>
      <c r="F18" s="10">
        <v>3</v>
      </c>
      <c r="G18" s="9" t="s">
        <v>128</v>
      </c>
      <c r="H18" s="11"/>
      <c r="I18" s="12"/>
      <c r="J18" s="12"/>
      <c r="K18" s="12"/>
      <c r="L18" s="9" t="s">
        <v>68</v>
      </c>
      <c r="M18" s="9" t="s">
        <v>81</v>
      </c>
      <c r="N18" s="9" t="s">
        <v>68</v>
      </c>
      <c r="O18" s="9" t="s">
        <v>68</v>
      </c>
      <c r="P18" s="9" t="s">
        <v>68</v>
      </c>
      <c r="Q18" s="9" t="s">
        <v>68</v>
      </c>
      <c r="R18" s="9" t="s">
        <v>68</v>
      </c>
      <c r="S18" s="9" t="s">
        <v>116</v>
      </c>
      <c r="T18" s="9" t="s">
        <v>68</v>
      </c>
      <c r="U18" s="9" t="s">
        <v>129</v>
      </c>
      <c r="V18" s="9" t="s">
        <v>118</v>
      </c>
    </row>
    <row r="19" ht="30" spans="1:22">
      <c r="A19" s="9" t="s">
        <v>130</v>
      </c>
      <c r="B19" s="9" t="s">
        <v>5</v>
      </c>
      <c r="C19" s="9" t="s">
        <v>23</v>
      </c>
      <c r="D19" s="9" t="s">
        <v>120</v>
      </c>
      <c r="E19" s="9" t="s">
        <v>18</v>
      </c>
      <c r="F19" s="10">
        <v>3</v>
      </c>
      <c r="G19" s="9" t="s">
        <v>128</v>
      </c>
      <c r="H19" s="11"/>
      <c r="I19" s="12"/>
      <c r="J19" s="12"/>
      <c r="K19" s="12"/>
      <c r="L19" s="9" t="s">
        <v>68</v>
      </c>
      <c r="M19" s="9" t="s">
        <v>81</v>
      </c>
      <c r="N19" s="9" t="s">
        <v>68</v>
      </c>
      <c r="O19" s="9" t="s">
        <v>68</v>
      </c>
      <c r="P19" s="9" t="s">
        <v>68</v>
      </c>
      <c r="Q19" s="9" t="s">
        <v>68</v>
      </c>
      <c r="R19" s="9" t="s">
        <v>68</v>
      </c>
      <c r="S19" s="9" t="s">
        <v>116</v>
      </c>
      <c r="T19" s="9" t="s">
        <v>68</v>
      </c>
      <c r="U19" s="9" t="s">
        <v>129</v>
      </c>
      <c r="V19" s="9" t="s">
        <v>118</v>
      </c>
    </row>
    <row r="20" ht="30" spans="1:22">
      <c r="A20" s="9" t="s">
        <v>131</v>
      </c>
      <c r="B20" s="9" t="s">
        <v>5</v>
      </c>
      <c r="C20" s="9" t="s">
        <v>23</v>
      </c>
      <c r="D20" s="9" t="s">
        <v>122</v>
      </c>
      <c r="E20" s="9" t="s">
        <v>18</v>
      </c>
      <c r="F20" s="10">
        <v>3</v>
      </c>
      <c r="G20" s="9" t="s">
        <v>128</v>
      </c>
      <c r="H20" s="11"/>
      <c r="I20" s="12"/>
      <c r="J20" s="12"/>
      <c r="K20" s="12"/>
      <c r="L20" s="9" t="s">
        <v>68</v>
      </c>
      <c r="M20" s="9" t="s">
        <v>81</v>
      </c>
      <c r="N20" s="9" t="s">
        <v>68</v>
      </c>
      <c r="O20" s="9" t="s">
        <v>68</v>
      </c>
      <c r="P20" s="9" t="s">
        <v>68</v>
      </c>
      <c r="Q20" s="9" t="s">
        <v>68</v>
      </c>
      <c r="R20" s="9" t="s">
        <v>68</v>
      </c>
      <c r="S20" s="9" t="s">
        <v>116</v>
      </c>
      <c r="T20" s="9" t="s">
        <v>68</v>
      </c>
      <c r="U20" s="9" t="s">
        <v>129</v>
      </c>
      <c r="V20" s="9" t="s">
        <v>118</v>
      </c>
    </row>
    <row r="21" ht="30" spans="1:22">
      <c r="A21" s="9" t="s">
        <v>132</v>
      </c>
      <c r="B21" s="9" t="s">
        <v>5</v>
      </c>
      <c r="C21" s="9" t="s">
        <v>23</v>
      </c>
      <c r="D21" s="9" t="s">
        <v>124</v>
      </c>
      <c r="E21" s="9" t="s">
        <v>18</v>
      </c>
      <c r="F21" s="10">
        <v>3</v>
      </c>
      <c r="G21" s="9" t="s">
        <v>128</v>
      </c>
      <c r="H21" s="11"/>
      <c r="I21" s="12"/>
      <c r="J21" s="12"/>
      <c r="K21" s="12"/>
      <c r="L21" s="9" t="s">
        <v>68</v>
      </c>
      <c r="M21" s="9" t="s">
        <v>81</v>
      </c>
      <c r="N21" s="9" t="s">
        <v>68</v>
      </c>
      <c r="O21" s="9" t="s">
        <v>68</v>
      </c>
      <c r="P21" s="9" t="s">
        <v>68</v>
      </c>
      <c r="Q21" s="9" t="s">
        <v>68</v>
      </c>
      <c r="R21" s="9" t="s">
        <v>68</v>
      </c>
      <c r="S21" s="9" t="s">
        <v>116</v>
      </c>
      <c r="T21" s="9" t="s">
        <v>68</v>
      </c>
      <c r="U21" s="9" t="s">
        <v>129</v>
      </c>
      <c r="V21" s="9" t="s">
        <v>118</v>
      </c>
    </row>
    <row r="22" spans="1:22">
      <c r="A22" s="9"/>
      <c r="B22" s="9"/>
      <c r="C22" s="9"/>
      <c r="D22" s="9"/>
      <c r="E22" s="9"/>
      <c r="F22" s="10"/>
      <c r="G22" s="9"/>
      <c r="H22" s="12"/>
      <c r="I22" s="12"/>
      <c r="J22" s="12"/>
      <c r="K22" s="1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</sheetData>
  <mergeCells count="2">
    <mergeCell ref="A1:V1"/>
    <mergeCell ref="A2:V2"/>
  </mergeCells>
  <conditionalFormatting sqref="E4:E60">
    <cfRule type="expression" dxfId="0" priority="1">
      <formula>$E4="实验中"</formula>
    </cfRule>
    <cfRule type="expression" dxfId="2" priority="2">
      <formula>$E4="空白"</formula>
    </cfRule>
    <cfRule type="expression" dxfId="3" priority="3">
      <formula>$E4="保种"</formula>
    </cfRule>
    <cfRule type="expression" dxfId="4" priority="4">
      <formula>$E4="繁育中"</formula>
    </cfRule>
  </conditionalFormatting>
  <conditionalFormatting sqref="F4:F22">
    <cfRule type="dataBar" priority="1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{7c92c7b2-c1a4-467b-8030-fa8362728c0b}</x14:id>
        </ext>
      </extLst>
    </cfRule>
  </conditionalFormatting>
  <conditionalFormatting sqref="L4:L60">
    <cfRule type="expression" dxfId="5" priority="5">
      <formula>$L4="待补"</formula>
    </cfRule>
    <cfRule type="expression" dxfId="6" priority="6">
      <formula>$L4="部分完整"</formula>
    </cfRule>
    <cfRule type="expression" dxfId="7" priority="7">
      <formula>$L4="完整"</formula>
    </cfRule>
  </conditionalFormatting>
  <conditionalFormatting sqref="M4:M60">
    <cfRule type="expression" dxfId="8" priority="8">
      <formula>$M4="高"</formula>
    </cfRule>
    <cfRule type="expression" dxfId="6" priority="9">
      <formula>$M4="中"</formula>
    </cfRule>
    <cfRule type="expression" dxfId="7" priority="10">
      <formula>$M4="低"</formula>
    </cfRule>
  </conditionalFormatting>
  <dataValidations count="6">
    <dataValidation type="list" sqref="B4:B60">
      <formula1>字典_下拉选项!$A$2:$A$4</formula1>
    </dataValidation>
    <dataValidation type="list" sqref="C4:C60">
      <formula1>字典_下拉选项!$B$2:$B$6</formula1>
    </dataValidation>
    <dataValidation type="list" sqref="E4:E60">
      <formula1>字典_下拉选项!$C$2:$C$5</formula1>
    </dataValidation>
    <dataValidation type="list" sqref="L4:L60">
      <formula1>字典_下拉选项!$E$2:$E$4</formula1>
    </dataValidation>
    <dataValidation type="list" sqref="M4:M60">
      <formula1>字典_下拉选项!$F$2:$F$4</formula1>
    </dataValidation>
    <dataValidation type="list" sqref="O4:O60">
      <formula1>字典_下拉选项!$G$2:$G$4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92c7b2-c1a4-467b-8030-fa8362728c0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F4:F22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1"/>
    </sheetView>
  </sheetViews>
  <sheetFormatPr defaultColWidth="9" defaultRowHeight="15"/>
  <cols>
    <col min="1" max="1" width="8" customWidth="1"/>
    <col min="2" max="2" width="10" customWidth="1"/>
    <col min="3" max="3" width="28" customWidth="1"/>
    <col min="4" max="4" width="10" customWidth="1"/>
    <col min="5" max="5" width="28" customWidth="1"/>
    <col min="6" max="6" width="20" customWidth="1"/>
    <col min="7" max="7" width="46" customWidth="1"/>
    <col min="8" max="8" width="24" customWidth="1"/>
    <col min="9" max="9" width="30" customWidth="1"/>
  </cols>
  <sheetData>
    <row r="1" ht="28" customHeight="1" spans="1:9">
      <c r="A1" s="7" t="s">
        <v>133</v>
      </c>
      <c r="B1" s="7"/>
      <c r="C1" s="7"/>
      <c r="D1" s="7"/>
      <c r="E1" s="7"/>
      <c r="F1" s="7"/>
      <c r="G1" s="7"/>
      <c r="H1" s="7"/>
      <c r="I1" s="7"/>
    </row>
    <row r="2" ht="30" customHeight="1" spans="1:9">
      <c r="A2" s="8" t="s">
        <v>134</v>
      </c>
      <c r="B2" s="8"/>
      <c r="C2" s="8"/>
      <c r="D2" s="8"/>
      <c r="E2" s="8"/>
      <c r="F2" s="8"/>
      <c r="G2" s="8"/>
      <c r="H2" s="8"/>
      <c r="I2" s="8"/>
    </row>
    <row r="3" ht="38" customHeight="1" spans="1:9">
      <c r="A3" s="6" t="s">
        <v>135</v>
      </c>
      <c r="B3" s="6" t="s">
        <v>136</v>
      </c>
      <c r="C3" s="6" t="s">
        <v>137</v>
      </c>
      <c r="D3" s="6" t="s">
        <v>46</v>
      </c>
      <c r="E3" s="6" t="s">
        <v>138</v>
      </c>
      <c r="F3" s="6" t="s">
        <v>139</v>
      </c>
      <c r="G3" s="6" t="s">
        <v>140</v>
      </c>
      <c r="H3" s="6" t="s">
        <v>141</v>
      </c>
      <c r="I3" s="6" t="s">
        <v>142</v>
      </c>
    </row>
    <row r="4" ht="30" spans="1:9">
      <c r="A4" s="9">
        <v>1</v>
      </c>
      <c r="B4" s="9" t="s">
        <v>81</v>
      </c>
      <c r="C4" s="9" t="s">
        <v>143</v>
      </c>
      <c r="D4" s="9">
        <v>2</v>
      </c>
      <c r="E4" s="9" t="s">
        <v>144</v>
      </c>
      <c r="F4" s="9" t="s">
        <v>145</v>
      </c>
      <c r="G4" s="9" t="s">
        <v>146</v>
      </c>
      <c r="H4" s="9" t="s">
        <v>147</v>
      </c>
      <c r="I4" s="9" t="s">
        <v>148</v>
      </c>
    </row>
    <row r="5" ht="28.5" spans="1:9">
      <c r="A5" s="9">
        <v>2</v>
      </c>
      <c r="B5" s="9" t="s">
        <v>81</v>
      </c>
      <c r="C5" s="9" t="s">
        <v>149</v>
      </c>
      <c r="D5" s="9">
        <v>5</v>
      </c>
      <c r="E5" s="9" t="s">
        <v>150</v>
      </c>
      <c r="F5" s="9" t="s">
        <v>50</v>
      </c>
      <c r="G5" s="9" t="s">
        <v>99</v>
      </c>
      <c r="H5" s="9" t="s">
        <v>151</v>
      </c>
      <c r="I5" s="9" t="s">
        <v>152</v>
      </c>
    </row>
    <row r="6" ht="30" spans="1:9">
      <c r="A6" s="9">
        <v>3</v>
      </c>
      <c r="B6" s="9" t="s">
        <v>81</v>
      </c>
      <c r="C6" s="9" t="s">
        <v>153</v>
      </c>
      <c r="D6" s="9">
        <v>35</v>
      </c>
      <c r="E6" s="9" t="s">
        <v>154</v>
      </c>
      <c r="F6" s="9" t="s">
        <v>155</v>
      </c>
      <c r="G6" s="9" t="s">
        <v>156</v>
      </c>
      <c r="H6" s="9" t="s">
        <v>157</v>
      </c>
      <c r="I6" s="9" t="s">
        <v>158</v>
      </c>
    </row>
    <row r="7" ht="30" spans="1:9">
      <c r="A7" s="9">
        <v>4</v>
      </c>
      <c r="B7" s="9" t="s">
        <v>81</v>
      </c>
      <c r="C7" s="9" t="s">
        <v>159</v>
      </c>
      <c r="D7" s="9">
        <v>42</v>
      </c>
      <c r="E7" s="9" t="s">
        <v>154</v>
      </c>
      <c r="F7" s="9" t="s">
        <v>155</v>
      </c>
      <c r="G7" s="9" t="s">
        <v>118</v>
      </c>
      <c r="H7" s="9" t="s">
        <v>160</v>
      </c>
      <c r="I7" s="9" t="s">
        <v>161</v>
      </c>
    </row>
    <row r="8" ht="28.5" spans="1:9">
      <c r="A8" s="9">
        <v>5</v>
      </c>
      <c r="B8" s="9" t="s">
        <v>67</v>
      </c>
      <c r="C8" s="9" t="s">
        <v>162</v>
      </c>
      <c r="D8" s="9">
        <v>5</v>
      </c>
      <c r="E8" s="9" t="s">
        <v>163</v>
      </c>
      <c r="F8" s="9" t="s">
        <v>164</v>
      </c>
      <c r="G8" s="9" t="s">
        <v>72</v>
      </c>
      <c r="H8" s="9" t="s">
        <v>165</v>
      </c>
      <c r="I8" s="9" t="s">
        <v>166</v>
      </c>
    </row>
    <row r="9" ht="28.5" spans="1:9">
      <c r="A9" s="9">
        <v>6</v>
      </c>
      <c r="B9" s="9" t="s">
        <v>67</v>
      </c>
      <c r="C9" s="9" t="s">
        <v>167</v>
      </c>
      <c r="D9" s="9">
        <v>3</v>
      </c>
      <c r="E9" s="9" t="s">
        <v>168</v>
      </c>
      <c r="F9" s="9" t="s">
        <v>48</v>
      </c>
      <c r="G9" s="9" t="s">
        <v>169</v>
      </c>
      <c r="H9" s="9" t="s">
        <v>170</v>
      </c>
      <c r="I9" s="9" t="s">
        <v>171</v>
      </c>
    </row>
    <row r="10" ht="30" spans="1:9">
      <c r="A10" s="9">
        <v>7</v>
      </c>
      <c r="B10" s="9" t="s">
        <v>67</v>
      </c>
      <c r="C10" s="9" t="s">
        <v>172</v>
      </c>
      <c r="D10" s="9">
        <v>4</v>
      </c>
      <c r="E10" s="9" t="s">
        <v>173</v>
      </c>
      <c r="F10" s="9" t="s">
        <v>50</v>
      </c>
      <c r="G10" s="9" t="s">
        <v>174</v>
      </c>
      <c r="H10" s="9" t="s">
        <v>175</v>
      </c>
      <c r="I10" s="9" t="s">
        <v>176</v>
      </c>
    </row>
    <row r="11" ht="28.5" spans="1:9">
      <c r="A11" s="9">
        <v>8</v>
      </c>
      <c r="B11" s="9" t="s">
        <v>67</v>
      </c>
      <c r="C11" s="9" t="s">
        <v>177</v>
      </c>
      <c r="D11" s="9">
        <v>98</v>
      </c>
      <c r="E11" s="9" t="s">
        <v>154</v>
      </c>
      <c r="F11" s="9" t="s">
        <v>155</v>
      </c>
      <c r="G11" s="9" t="s">
        <v>104</v>
      </c>
      <c r="H11" s="9" t="s">
        <v>178</v>
      </c>
      <c r="I11" s="9" t="s">
        <v>179</v>
      </c>
    </row>
    <row r="12" ht="28.5" spans="1:9">
      <c r="A12" s="9">
        <v>9</v>
      </c>
      <c r="B12" s="9" t="s">
        <v>67</v>
      </c>
      <c r="C12" s="9" t="s">
        <v>180</v>
      </c>
      <c r="D12" s="9">
        <v>10</v>
      </c>
      <c r="E12" s="9" t="s">
        <v>154</v>
      </c>
      <c r="F12" s="9" t="s">
        <v>155</v>
      </c>
      <c r="G12" s="9" t="s">
        <v>104</v>
      </c>
      <c r="H12" s="9" t="s">
        <v>181</v>
      </c>
      <c r="I12" s="9" t="s">
        <v>182</v>
      </c>
    </row>
    <row r="13" spans="1:9">
      <c r="A13" s="9">
        <v>10</v>
      </c>
      <c r="B13" s="9" t="s">
        <v>92</v>
      </c>
      <c r="C13" s="9" t="s">
        <v>183</v>
      </c>
      <c r="D13" s="9">
        <v>10</v>
      </c>
      <c r="E13" s="9" t="s">
        <v>184</v>
      </c>
      <c r="F13" s="9" t="s">
        <v>51</v>
      </c>
      <c r="G13" s="9" t="s">
        <v>72</v>
      </c>
      <c r="H13" s="9" t="s">
        <v>185</v>
      </c>
      <c r="I13" s="9" t="s">
        <v>186</v>
      </c>
    </row>
  </sheetData>
  <mergeCells count="2">
    <mergeCell ref="A1:I1"/>
    <mergeCell ref="A2:I2"/>
  </mergeCells>
  <conditionalFormatting sqref="B4:B13">
    <cfRule type="expression" dxfId="8" priority="1">
      <formula>$B4="高"</formula>
    </cfRule>
    <cfRule type="expression" dxfId="6" priority="2">
      <formula>$B4="中"</formula>
    </cfRule>
    <cfRule type="expression" dxfId="7" priority="3">
      <formula>$B4="低"</formula>
    </cfRule>
  </conditionalFormatting>
  <conditionalFormatting sqref="D4:D13"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{82b6cca2-75f2-4aa1-b76e-22a09a74e712}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b6cca2-75f2-4aa1-b76e-22a09a74e71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D4:D13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5" outlineLevelRow="6" outlineLevelCol="6"/>
  <cols>
    <col min="1" max="7" width="18" customWidth="1"/>
  </cols>
  <sheetData>
    <row r="1" ht="28" customHeight="1" spans="1:7">
      <c r="A1" s="6" t="s">
        <v>43</v>
      </c>
      <c r="B1" s="6" t="s">
        <v>13</v>
      </c>
      <c r="C1" s="6" t="s">
        <v>45</v>
      </c>
      <c r="D1" s="6" t="s">
        <v>187</v>
      </c>
      <c r="E1" s="6" t="s">
        <v>52</v>
      </c>
      <c r="F1" s="6" t="s">
        <v>53</v>
      </c>
      <c r="G1" s="6" t="s">
        <v>55</v>
      </c>
    </row>
    <row r="2" spans="1:7">
      <c r="A2" t="s">
        <v>3</v>
      </c>
      <c r="B2" t="s">
        <v>19</v>
      </c>
      <c r="C2" t="s">
        <v>17</v>
      </c>
      <c r="D2" t="s">
        <v>17</v>
      </c>
      <c r="E2" t="s">
        <v>66</v>
      </c>
      <c r="F2" t="s">
        <v>81</v>
      </c>
      <c r="G2" t="s">
        <v>188</v>
      </c>
    </row>
    <row r="3" spans="1:7">
      <c r="A3" t="s">
        <v>4</v>
      </c>
      <c r="B3" t="s">
        <v>20</v>
      </c>
      <c r="C3" t="s">
        <v>15</v>
      </c>
      <c r="D3" t="s">
        <v>189</v>
      </c>
      <c r="E3" t="s">
        <v>75</v>
      </c>
      <c r="F3" t="s">
        <v>67</v>
      </c>
      <c r="G3" t="s">
        <v>190</v>
      </c>
    </row>
    <row r="4" spans="1:7">
      <c r="A4" t="s">
        <v>5</v>
      </c>
      <c r="B4" t="s">
        <v>21</v>
      </c>
      <c r="C4" t="s">
        <v>16</v>
      </c>
      <c r="D4" t="s">
        <v>191</v>
      </c>
      <c r="E4" t="s">
        <v>68</v>
      </c>
      <c r="F4" t="s">
        <v>92</v>
      </c>
      <c r="G4" t="s">
        <v>192</v>
      </c>
    </row>
    <row r="5" spans="1:7">
      <c r="B5" t="s">
        <v>22</v>
      </c>
      <c r="C5" t="s">
        <v>18</v>
      </c>
      <c r="D5" t="s">
        <v>193</v>
      </c>
    </row>
    <row r="6" spans="1:7">
      <c r="B6" t="s">
        <v>23</v>
      </c>
      <c r="D6" t="s">
        <v>16</v>
      </c>
    </row>
    <row r="7" spans="1:7">
      <c r="D7" t="s">
        <v>116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:I1"/>
    </sheetView>
  </sheetViews>
  <sheetFormatPr defaultColWidth="9" defaultRowHeight="15" outlineLevelRow="7"/>
  <cols>
    <col min="1" max="1" width="12" customWidth="1"/>
    <col min="2" max="2" width="10" customWidth="1"/>
    <col min="3" max="3" width="16" customWidth="1"/>
    <col min="4" max="4" width="13" customWidth="1"/>
    <col min="5" max="5" width="15" customWidth="1"/>
    <col min="6" max="6" width="22" customWidth="1"/>
    <col min="7" max="7" width="38" customWidth="1"/>
    <col min="8" max="8" width="40" customWidth="1"/>
    <col min="9" max="9" width="14" customWidth="1"/>
  </cols>
  <sheetData>
    <row r="1" ht="28" customHeight="1" spans="1:9">
      <c r="A1" s="1" t="s">
        <v>194</v>
      </c>
      <c r="B1" s="1"/>
      <c r="C1" s="1"/>
      <c r="D1" s="1"/>
      <c r="E1" s="1"/>
      <c r="F1" s="1"/>
      <c r="G1" s="1"/>
      <c r="H1" s="1"/>
      <c r="I1" s="1"/>
    </row>
    <row r="2" ht="40" customHeight="1" spans="1:9">
      <c r="A2" s="2" t="s">
        <v>195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3" t="s">
        <v>42</v>
      </c>
      <c r="B3" s="3" t="s">
        <v>46</v>
      </c>
      <c r="C3" s="3" t="s">
        <v>44</v>
      </c>
      <c r="D3" s="3" t="s">
        <v>48</v>
      </c>
      <c r="E3" s="3" t="s">
        <v>196</v>
      </c>
      <c r="F3" s="3" t="s">
        <v>197</v>
      </c>
      <c r="G3" s="3" t="s">
        <v>198</v>
      </c>
      <c r="H3" s="3" t="s">
        <v>199</v>
      </c>
      <c r="I3" s="3" t="s">
        <v>200</v>
      </c>
    </row>
    <row r="4" ht="66" customHeight="1" spans="1:9">
      <c r="A4" s="4" t="s">
        <v>63</v>
      </c>
      <c r="B4" s="4">
        <v>5</v>
      </c>
      <c r="C4" s="4" t="s">
        <v>64</v>
      </c>
      <c r="D4" s="5">
        <v>45863</v>
      </c>
      <c r="E4" s="4" t="s">
        <v>201</v>
      </c>
      <c r="F4" s="4" t="s">
        <v>202</v>
      </c>
      <c r="G4" s="4" t="s">
        <v>203</v>
      </c>
      <c r="H4" s="4" t="s">
        <v>204</v>
      </c>
      <c r="I4" s="4" t="s">
        <v>205</v>
      </c>
    </row>
    <row r="5" ht="66" customHeight="1" spans="1:9">
      <c r="A5" s="4" t="s">
        <v>73</v>
      </c>
      <c r="B5" s="4">
        <v>3</v>
      </c>
      <c r="C5" s="4" t="s">
        <v>17</v>
      </c>
      <c r="D5" s="5">
        <v>45863</v>
      </c>
      <c r="E5" s="4" t="s">
        <v>201</v>
      </c>
      <c r="F5" s="4" t="s">
        <v>206</v>
      </c>
      <c r="G5" s="4" t="s">
        <v>207</v>
      </c>
      <c r="H5" s="4" t="s">
        <v>208</v>
      </c>
      <c r="I5" s="4" t="s">
        <v>205</v>
      </c>
    </row>
    <row r="6" ht="66" customHeight="1" spans="1:9">
      <c r="A6" s="4" t="s">
        <v>78</v>
      </c>
      <c r="B6" s="4">
        <v>2</v>
      </c>
      <c r="C6" s="4" t="s">
        <v>79</v>
      </c>
      <c r="D6" s="5"/>
      <c r="E6" s="4" t="s">
        <v>209</v>
      </c>
      <c r="F6" s="4" t="s">
        <v>210</v>
      </c>
      <c r="G6" s="4" t="s">
        <v>211</v>
      </c>
      <c r="H6" s="4" t="s">
        <v>212</v>
      </c>
      <c r="I6" s="4" t="s">
        <v>213</v>
      </c>
    </row>
    <row r="7" ht="66" customHeight="1" spans="1:9">
      <c r="A7" s="4" t="s">
        <v>84</v>
      </c>
      <c r="B7" s="4">
        <v>4</v>
      </c>
      <c r="C7" s="4" t="s">
        <v>85</v>
      </c>
      <c r="D7" s="5"/>
      <c r="E7" s="4" t="s">
        <v>209</v>
      </c>
      <c r="F7" s="4" t="s">
        <v>173</v>
      </c>
      <c r="G7" s="4" t="s">
        <v>214</v>
      </c>
      <c r="H7" s="4" t="s">
        <v>215</v>
      </c>
      <c r="I7" s="4" t="s">
        <v>213</v>
      </c>
    </row>
    <row r="8" ht="66" customHeight="1" spans="1:9">
      <c r="A8" s="4" t="s">
        <v>89</v>
      </c>
      <c r="B8" s="4">
        <v>10</v>
      </c>
      <c r="C8" s="4" t="s">
        <v>90</v>
      </c>
      <c r="D8" s="5"/>
      <c r="E8" s="4" t="s">
        <v>69</v>
      </c>
      <c r="F8" s="4" t="s">
        <v>216</v>
      </c>
      <c r="G8" s="4" t="s">
        <v>217</v>
      </c>
      <c r="H8" s="4" t="s">
        <v>218</v>
      </c>
      <c r="I8" s="4" t="s">
        <v>205</v>
      </c>
    </row>
  </sheetData>
  <mergeCells count="2">
    <mergeCell ref="A1:I1"/>
    <mergeCell ref="A2:I2"/>
  </mergeCells>
  <conditionalFormatting sqref="E4:E8">
    <cfRule type="expression" dxfId="2" priority="1">
      <formula>E4="已补"</formula>
    </cfRule>
    <cfRule type="expression" dxfId="0" priority="2">
      <formula>E4="待确认"</formula>
    </cfRule>
  </conditionalFormatting>
  <conditionalFormatting sqref="I4:I8">
    <cfRule type="expression" dxfId="9" priority="3">
      <formula>I4="是"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总览看板</vt:lpstr>
      <vt:lpstr>动物台账明细</vt:lpstr>
      <vt:lpstr>待补字段清单</vt:lpstr>
      <vt:lpstr>字典_下拉选项</vt:lpstr>
      <vt:lpstr>保种日期核对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行者梦终真</cp:lastModifiedBy>
  <dcterms:created xsi:type="dcterms:W3CDTF">2026-07-06T14:55:47Z</dcterms:created>
  <dcterms:modified xsi:type="dcterms:W3CDTF">2026-07-06T14:59:27Z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A713783DE240464FA7E61F634CFB1218_13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